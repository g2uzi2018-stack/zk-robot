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rongjunchen\Desktop\"/>
    </mc:Choice>
  </mc:AlternateContent>
  <xr:revisionPtr revIDLastSave="0" documentId="13_ncr:1_{ED804152-6276-4C24-ABF6-1320FC1CF18A}" xr6:coauthVersionLast="47" xr6:coauthVersionMax="47" xr10:uidLastSave="{00000000-0000-0000-0000-000000000000}"/>
  <bookViews>
    <workbookView xWindow="-98" yWindow="-98" windowWidth="21795" windowHeight="12975" tabRatio="491" xr2:uid="{00000000-000D-0000-FFFF-FFFF00000000}"/>
  </bookViews>
  <sheets>
    <sheet name="canbus" sheetId="4" r:id="rId1"/>
    <sheet name="单位换算" sheetId="5" r:id="rId2"/>
    <sheet name="人型机器人" sheetId="6" r:id="rId3"/>
    <sheet name="电流计算" sheetId="7" r:id="rId4"/>
    <sheet name="角度换算" sheetId="8" r:id="rId5"/>
    <sheet name="S曲线计算器" sheetId="9" r:id="rId6"/>
  </sheets>
  <definedNames>
    <definedName name="_xlnm._FilterDatabase" localSheetId="0" hidden="1">canbus!$C$2:$H$96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4" i="9" l="1"/>
  <c r="C23" i="9"/>
  <c r="C20" i="9"/>
  <c r="C19" i="9"/>
  <c r="C18" i="9"/>
  <c r="C17" i="9"/>
  <c r="C16" i="9"/>
  <c r="C13" i="9"/>
  <c r="C9" i="9"/>
  <c r="C8" i="9"/>
  <c r="E16" i="7"/>
  <c r="E15" i="7"/>
  <c r="E14" i="7"/>
  <c r="E13" i="7"/>
  <c r="F12" i="7"/>
  <c r="E12" i="7"/>
  <c r="E11" i="7"/>
  <c r="F10" i="7"/>
  <c r="E10" i="7"/>
  <c r="F9" i="7"/>
  <c r="E9" i="7"/>
  <c r="F8" i="7"/>
  <c r="E8" i="7"/>
  <c r="F7" i="7"/>
  <c r="E7" i="7"/>
  <c r="F6" i="7"/>
  <c r="E6" i="7"/>
  <c r="F5" i="7"/>
  <c r="E5" i="7"/>
  <c r="F4" i="7"/>
  <c r="E4" i="7"/>
  <c r="F3" i="7"/>
  <c r="E3" i="7"/>
  <c r="F36" i="5"/>
  <c r="C42" i="5" s="1"/>
  <c r="E32" i="5"/>
  <c r="E31" i="5"/>
  <c r="E30" i="5"/>
  <c r="E29" i="5"/>
  <c r="E28" i="5"/>
  <c r="H26" i="5"/>
  <c r="G26" i="5"/>
  <c r="F26" i="5"/>
  <c r="H25" i="5"/>
  <c r="G25" i="5"/>
  <c r="F25" i="5"/>
  <c r="H24" i="5"/>
  <c r="G24" i="5"/>
  <c r="F24" i="5"/>
  <c r="H23" i="5"/>
  <c r="G23" i="5"/>
  <c r="F23" i="5"/>
  <c r="H22" i="5"/>
  <c r="G22" i="5"/>
  <c r="F22" i="5"/>
  <c r="E22" i="5"/>
  <c r="E19" i="5"/>
  <c r="E18" i="5"/>
  <c r="E17" i="5"/>
  <c r="E16" i="5"/>
  <c r="G15" i="5"/>
  <c r="E15" i="5"/>
  <c r="F13" i="5"/>
  <c r="E13" i="5"/>
  <c r="F12" i="5"/>
  <c r="E12" i="5"/>
  <c r="F11" i="5"/>
  <c r="E11" i="5"/>
  <c r="F10" i="5"/>
  <c r="E10" i="5"/>
  <c r="H9" i="5"/>
  <c r="G9" i="5"/>
  <c r="F9" i="5"/>
  <c r="E9" i="5"/>
  <c r="G7" i="5"/>
  <c r="E7" i="5"/>
  <c r="E12" i="8"/>
  <c r="E9" i="8"/>
  <c r="G8" i="8"/>
  <c r="E6" i="8"/>
  <c r="D6" i="8"/>
  <c r="E4" i="8"/>
  <c r="D4" i="8"/>
  <c r="C39" i="5" l="1"/>
  <c r="C40" i="5"/>
  <c r="C41" i="5"/>
</calcChain>
</file>

<file path=xl/sharedStrings.xml><?xml version="1.0" encoding="utf-8"?>
<sst xmlns="http://schemas.openxmlformats.org/spreadsheetml/2006/main" count="1367" uniqueCount="401">
  <si>
    <t>长度</t>
  </si>
  <si>
    <t>DEC</t>
  </si>
  <si>
    <t>HEX</t>
  </si>
  <si>
    <t>返回长度</t>
  </si>
  <si>
    <t>数据类型</t>
  </si>
  <si>
    <t>单位</t>
  </si>
  <si>
    <t>停止电机</t>
  </si>
  <si>
    <t>-</t>
  </si>
  <si>
    <t>获取运行模式</t>
  </si>
  <si>
    <t>5字节</t>
  </si>
  <si>
    <t>Int32</t>
  </si>
  <si>
    <t>获取当前电流</t>
  </si>
  <si>
    <t>获取当前速度</t>
  </si>
  <si>
    <t>0.01Hz</t>
  </si>
  <si>
    <t>获取目标转速</t>
  </si>
  <si>
    <t>获取当前位置</t>
  </si>
  <si>
    <t>cnt</t>
  </si>
  <si>
    <t>获取目标位置</t>
  </si>
  <si>
    <t>获取错误状态</t>
  </si>
  <si>
    <t>清除电机错误</t>
  </si>
  <si>
    <t>恢复用户参数</t>
  </si>
  <si>
    <t>保存用户参数</t>
  </si>
  <si>
    <t>获取速度环KP</t>
  </si>
  <si>
    <t>获取速度环KI</t>
  </si>
  <si>
    <t>获取位置环KP</t>
  </si>
  <si>
    <t>获取位置环KD</t>
  </si>
  <si>
    <t>获取母线电压</t>
  </si>
  <si>
    <t>V</t>
  </si>
  <si>
    <t>获取最大加速度</t>
  </si>
  <si>
    <t>获取最小加速度</t>
  </si>
  <si>
    <t>获取最大速度</t>
  </si>
  <si>
    <t>获取最小速度</t>
  </si>
  <si>
    <t>获取最大软件限位</t>
  </si>
  <si>
    <t>获取最小软件限位</t>
  </si>
  <si>
    <t>获取速度环KD</t>
  </si>
  <si>
    <t>获取位置环KI</t>
  </si>
  <si>
    <t>获取最大电流值</t>
  </si>
  <si>
    <t>获取最小电流值</t>
  </si>
  <si>
    <t>获取最大电流绝对值</t>
  </si>
  <si>
    <t>获取电角度对齐值</t>
  </si>
  <si>
    <t>轮廓加速度</t>
  </si>
  <si>
    <t>轮廓加加速度</t>
  </si>
  <si>
    <t>获取电流、速度、位置</t>
  </si>
  <si>
    <t>8字节</t>
  </si>
  <si>
    <t>组合</t>
  </si>
  <si>
    <t>0x85</t>
  </si>
  <si>
    <t>0x86</t>
  </si>
  <si>
    <t>电机型号</t>
  </si>
  <si>
    <t>电机软件版本号</t>
  </si>
  <si>
    <t>电机硬件版本号</t>
  </si>
  <si>
    <t>获取8字节模式选择</t>
  </si>
  <si>
    <t>获取编码器电池电压</t>
  </si>
  <si>
    <t>获取电流环KP</t>
  </si>
  <si>
    <t>获取电流环KI</t>
  </si>
  <si>
    <t>获取过压阈值</t>
  </si>
  <si>
    <t>获取正常电压</t>
  </si>
  <si>
    <t>获取低压阈值</t>
  </si>
  <si>
    <t>4字节</t>
  </si>
  <si>
    <t>设置目标电流</t>
  </si>
  <si>
    <t>设置目标速度</t>
  </si>
  <si>
    <t>设置目标位置</t>
  </si>
  <si>
    <t>设置最大正电流</t>
  </si>
  <si>
    <t>设置最小负电流</t>
  </si>
  <si>
    <t>设置最大加速度</t>
  </si>
  <si>
    <t>设置最小加速度</t>
  </si>
  <si>
    <t>设置最大速度</t>
  </si>
  <si>
    <t>设置最小速度</t>
  </si>
  <si>
    <t>设置最大软件限位</t>
  </si>
  <si>
    <t>设置最小软件限位</t>
  </si>
  <si>
    <t>设置速度KP</t>
  </si>
  <si>
    <t>设置速度KI</t>
  </si>
  <si>
    <t>设置位置KP</t>
  </si>
  <si>
    <t>设置位置KD</t>
  </si>
  <si>
    <t>修改电机响应CANID</t>
  </si>
  <si>
    <t>设置电机电角度</t>
  </si>
  <si>
    <t>修改总线波特率</t>
  </si>
  <si>
    <t>Int16+Int16+Int32</t>
  </si>
  <si>
    <t>设置位置环前馈电流</t>
  </si>
  <si>
    <t>设置位置偏移值</t>
  </si>
  <si>
    <t>设置位置限制开启</t>
  </si>
  <si>
    <t>设置报文上传及心跳时间</t>
  </si>
  <si>
    <t>PT模式：目标位置</t>
  </si>
  <si>
    <t>float</t>
  </si>
  <si>
    <t>6字节</t>
  </si>
  <si>
    <t>PT解析最小值扭矩</t>
  </si>
  <si>
    <t>PT解析最大值扭矩</t>
  </si>
  <si>
    <t>PT解析最小值电流</t>
  </si>
  <si>
    <t>7字节</t>
  </si>
  <si>
    <t>PT模式-目标位置+目标速度</t>
  </si>
  <si>
    <t>Int32+Int32</t>
  </si>
  <si>
    <t>0x10</t>
  </si>
  <si>
    <t>位置模式-前馈扭矩</t>
  </si>
  <si>
    <t>0x11</t>
  </si>
  <si>
    <t>位置模式-前馈速度</t>
  </si>
  <si>
    <t>位置模式-兼速度修改</t>
  </si>
  <si>
    <t>Int32+Int16</t>
  </si>
  <si>
    <t>轮廓位置模式</t>
  </si>
  <si>
    <t>人型接口力位混合模式（PT模式）</t>
  </si>
  <si>
    <t>位置转换</t>
  </si>
  <si>
    <t>单编码器精度</t>
  </si>
  <si>
    <t>双编码器精度</t>
  </si>
  <si>
    <t>输入</t>
  </si>
  <si>
    <t>减速比</t>
  </si>
  <si>
    <t>输出端（度）</t>
  </si>
  <si>
    <t>输出端（弧度）</t>
  </si>
  <si>
    <t>单编码器cnt</t>
  </si>
  <si>
    <t>双编码器cnt</t>
  </si>
  <si>
    <t>速度转换</t>
  </si>
  <si>
    <t>0.01HZ</t>
  </si>
  <si>
    <t>电机端（RPM）</t>
  </si>
  <si>
    <t>输出端（RPM）</t>
  </si>
  <si>
    <t>输出端（度/秒）</t>
  </si>
  <si>
    <t>输出端（弧度/S）</t>
  </si>
  <si>
    <t>电机端（0.01HZ）</t>
  </si>
  <si>
    <t>目标角度</t>
  </si>
  <si>
    <t>编码器位数</t>
  </si>
  <si>
    <t>1E</t>
  </si>
  <si>
    <t>双编码器需注意：
减速比一栏写1
编码器位数写262144</t>
  </si>
  <si>
    <t>10000*0.01</t>
  </si>
  <si>
    <t>电机端接收的数据</t>
  </si>
  <si>
    <t xml:space="preserve">        MC_Interface.NextState = MS_PT_MODE;
        PT_mode.mode = 0;
        PT_mode.INThPT_KP = (RxData[0] &lt;&lt; 7) + (RxData[1] &gt;&gt; 1);
        PT_mode.INThPT_KD = ((RxData[1] &amp; 0X1) &lt;&lt; 8) + RxData[2];
        PT_mode.INTtargetpos_rad = (RxData[3] &lt;&lt; 8) + RxData[4];
        PT_mode.INTtargetspeed_rads = ((RxData[5]) &lt;&lt; 4) + (RxData[6] &gt;&gt; 4);
        PT_mode.INTtargettorque_NM = ((RxData[6] &amp; 0XF) &lt;&lt; 8) + RxData[7];
        PT_mode.hPT_KP = uint_to_float(PT_mode.INThPT_KP, KP_MINX, KP_MAXX, 12);
        PT_mode.hPT_KD = uint_to_float(PT_mode.INThPT_KD, KD_MINX, KD_MAXX, 9);
        PT_mode.targetpos_rad = uint_to_float(PT_mode.INTtargetpos_rad, POS_MINX, POS_MAXX, 16);
        PT_mode.targetspeed_rads = uint_to_float(PT_mode.INTtargetspeed_rads, SPD_MINX, SPD_MAXX, 12);
        PT_mode.targettorque_NM = uint_to_float(PT_mode.INTtargettorque_NM, T_MINX, T_MAXX, 12);</t>
  </si>
  <si>
    <t>电机端反馈的数据</t>
  </si>
  <si>
    <t xml:space="preserve">        PT_mode.INTpos_rad = float_to_uint(PT_mode.pos_rad, POS_MINX, POS_MAXX, 16);
        PT_mode.INTspeed_rads = float_to_uint(PT_mode.speed_rads, SPD_MINX, SPD_MAXX, 12);
        PT_mode.INTcurrent_A = float_to_uint(PT_mode.current_A, I_MINX, I_MAXX, 12);
        TxData[0] = 0x01 + PT_mode.motor_error;
        TxData[1] = (PT_mode.INTpos_rad &gt;&gt; 8) &amp; 0XFF;
        TxData[2] = PT_mode.INTpos_rad &amp; 0XFF;
        TxData[3] = (PT_mode.INTspeed_rads &gt;&gt; 4) &amp; 0XFF;
        TxData[4] = ((PT_mode.INTspeed_rads &amp; 0XF) &lt;&lt; 4) | (PT_mode.INTcurrent_A &gt;&gt; 8);
        TxData[5] = PT_mode.INTcurrent_A &amp; 0XFF;
        TxData[6] = (uint8_t)(PT_mode.Coil_Temp_Celsiu * 2 + 50);
        TxData[7] = (uint8_t)(PT_mode.Board_Temp_Celsiu * 2 + 50);
        TxHeader.DataLength = FDCAN_DLC_BYTES_8;
        HAL_FDCAN_AddMessageToTxFifoQ(&amp;hfdcan1, &amp;TxHeader, TxData);</t>
  </si>
  <si>
    <t>转换</t>
  </si>
  <si>
    <t>int float_to_uint(float x, float x_min, float x_max, int bits)
{
  float span = x_max - x_min;
  float offset = x_min;
  return (int)((x - offset) * ((float)((1 &lt;&lt; bits) - 1)) / span);
}
float uint_to_float(int x_int, float x_min, float x_max, int bits)
{
  float span = x_max - x_min;
  float offset = x_min;
  return ((float)x_int) * span / ((float)((1 &lt;&lt; bits) - 1)) + offset;
}</t>
  </si>
  <si>
    <t>增益</t>
  </si>
  <si>
    <t>采样电阻（毫欧）</t>
  </si>
  <si>
    <t>ACTUATOR_IQMAX</t>
  </si>
  <si>
    <t>最大电流绝对值(mA)</t>
  </si>
  <si>
    <t>30-40</t>
  </si>
  <si>
    <t>40-52</t>
  </si>
  <si>
    <t>50-60</t>
  </si>
  <si>
    <t>50-70</t>
  </si>
  <si>
    <t>60-70</t>
  </si>
  <si>
    <t>60-80</t>
  </si>
  <si>
    <t>70-80</t>
  </si>
  <si>
    <t>70-90</t>
  </si>
  <si>
    <t>80-97</t>
  </si>
  <si>
    <t>80-110</t>
  </si>
  <si>
    <t>100-120</t>
  </si>
  <si>
    <t>100-145</t>
  </si>
  <si>
    <t>100-142</t>
  </si>
  <si>
    <t>110-170</t>
  </si>
  <si>
    <t>度</t>
  </si>
  <si>
    <t>角分</t>
  </si>
  <si>
    <t>角秒</t>
  </si>
  <si>
    <t>编码器</t>
  </si>
  <si>
    <t>360°CNT</t>
  </si>
  <si>
    <r>
      <rPr>
        <sz val="11"/>
        <color theme="1"/>
        <rFont val="等线"/>
        <charset val="134"/>
        <scheme val="minor"/>
      </rPr>
      <t>C</t>
    </r>
    <r>
      <rPr>
        <sz val="11"/>
        <color theme="1"/>
        <rFont val="等线"/>
        <charset val="134"/>
        <scheme val="minor"/>
      </rPr>
      <t>NT/角秒</t>
    </r>
  </si>
  <si>
    <t>末端移动（um）</t>
  </si>
  <si>
    <t>杆长mm</t>
  </si>
  <si>
    <t>移动角秒</t>
  </si>
  <si>
    <t>S</t>
  </si>
  <si>
    <t>A</t>
  </si>
  <si>
    <t>D</t>
  </si>
  <si>
    <t>J</t>
  </si>
  <si>
    <t>T1</t>
  </si>
  <si>
    <t>T2</t>
  </si>
  <si>
    <t>T3</t>
  </si>
  <si>
    <t>T4</t>
  </si>
  <si>
    <t>T5</t>
  </si>
  <si>
    <t>T6</t>
  </si>
  <si>
    <t>T7</t>
  </si>
  <si>
    <t>S总</t>
  </si>
  <si>
    <t>S++</t>
  </si>
  <si>
    <t>S--</t>
  </si>
  <si>
    <t>J*T*T</t>
  </si>
  <si>
    <t>A(T1+T2)</t>
  </si>
  <si>
    <t>S-T5*4</t>
  </si>
  <si>
    <t>S++（T5代入T2）</t>
  </si>
  <si>
    <t>选择版本（###表示未编辑）</t>
  </si>
  <si>
    <t>PRO2</t>
  </si>
  <si>
    <t>参数长度</t>
  </si>
  <si>
    <t>参数格式</t>
  </si>
  <si>
    <t>功能码说明</t>
  </si>
  <si>
    <t>使用说明</t>
  </si>
  <si>
    <t>状态</t>
  </si>
  <si>
    <t>特殊说明</t>
  </si>
  <si>
    <t>0x02</t>
  </si>
  <si>
    <t>支持</t>
  </si>
  <si>
    <t>0x03</t>
  </si>
  <si>
    <t>8位置模式，9速度模式，10电流模式，1轮廓位置，3轮廓速度，4轮廓电流，6回原，33力位混合</t>
  </si>
  <si>
    <t>0x04</t>
  </si>
  <si>
    <t>1mA</t>
  </si>
  <si>
    <t>0x05</t>
  </si>
  <si>
    <t>获取滤波电流</t>
  </si>
  <si>
    <t>0x06</t>
  </si>
  <si>
    <t>0x07</t>
  </si>
  <si>
    <t>0x08</t>
  </si>
  <si>
    <t>1cnt</t>
  </si>
  <si>
    <t>通过参数可设置为减速器高速端位置，详情看6字节9D指令</t>
  </si>
  <si>
    <t>0x09</t>
  </si>
  <si>
    <t>0x0A</t>
  </si>
  <si>
    <t>Uint32</t>
  </si>
  <si>
    <t>0x0B</t>
  </si>
  <si>
    <t>0x0D</t>
  </si>
  <si>
    <t>0x0E</t>
  </si>
  <si>
    <t>0x0F</t>
  </si>
  <si>
    <t>恢复出厂参数</t>
  </si>
  <si>
    <t>0x12</t>
  </si>
  <si>
    <t>0x13</t>
  </si>
  <si>
    <t>0x14</t>
  </si>
  <si>
    <t>1V</t>
  </si>
  <si>
    <t>0x16</t>
  </si>
  <si>
    <t>2hz/s</t>
  </si>
  <si>
    <t>仅can速度模式生效,2hz/s，设1从0到2000(0.01hz)需要10s</t>
  </si>
  <si>
    <t>0x17</t>
  </si>
  <si>
    <t>仅can速度模式生效,2hz/s，设-1从2000到0(0.01hz)需要10s</t>
  </si>
  <si>
    <t>0x18</t>
  </si>
  <si>
    <t>0x19</t>
  </si>
  <si>
    <t>0x1A</t>
  </si>
  <si>
    <t>0x1B</t>
  </si>
  <si>
    <t>0x31</t>
  </si>
  <si>
    <t>获取电机温度</t>
  </si>
  <si>
    <t>1℃</t>
  </si>
  <si>
    <t>0x32</t>
  </si>
  <si>
    <t>获取驱动器温度</t>
  </si>
  <si>
    <t>0x33</t>
  </si>
  <si>
    <t>电机控制设计环路中无此参数，固定0，无意义</t>
  </si>
  <si>
    <t>0x34</t>
  </si>
  <si>
    <t>0x35</t>
  </si>
  <si>
    <t>默认同时作为电机电流输出限制和过载检测值，通过参数可修改</t>
  </si>
  <si>
    <t>0x36</t>
  </si>
  <si>
    <t>0x37</t>
  </si>
  <si>
    <t>驱动器采样最大电流</t>
  </si>
  <si>
    <t>0x39</t>
  </si>
  <si>
    <t>0x3B</t>
  </si>
  <si>
    <t>1cnt/s/s</t>
  </si>
  <si>
    <t>轮廓位置模式使用，7段式双S曲线算法</t>
  </si>
  <si>
    <t>0x3C</t>
  </si>
  <si>
    <t>1cnt/s/s/s</t>
  </si>
  <si>
    <t>0x41</t>
  </si>
  <si>
    <t>0x48</t>
  </si>
  <si>
    <t>电机开闸</t>
  </si>
  <si>
    <t>0x49</t>
  </si>
  <si>
    <t>电机报闸</t>
  </si>
  <si>
    <t>0x54</t>
  </si>
  <si>
    <t>获取当前位置偏移(当前位置=编码器位置 - 当前偏移值)</t>
  </si>
  <si>
    <t>双编内外圈位置都会减这个偏移值</t>
  </si>
  <si>
    <t>0x55</t>
  </si>
  <si>
    <t>0x64</t>
  </si>
  <si>
    <t>后面补充具体型号对应代码列表</t>
  </si>
  <si>
    <t>0x65</t>
  </si>
  <si>
    <t>0x66</t>
  </si>
  <si>
    <t>0x6F</t>
  </si>
  <si>
    <t>0x70</t>
  </si>
  <si>
    <t>默认2</t>
  </si>
  <si>
    <t>0x71</t>
  </si>
  <si>
    <t>默认0</t>
  </si>
  <si>
    <t>0x78</t>
  </si>
  <si>
    <t>0.01V</t>
  </si>
  <si>
    <t>0x79</t>
  </si>
  <si>
    <t>获取编码器状态</t>
  </si>
  <si>
    <t>获取编码器内圈位置值</t>
  </si>
  <si>
    <t>0x8A</t>
  </si>
  <si>
    <t>0x8B</t>
  </si>
  <si>
    <t>0x8C</t>
  </si>
  <si>
    <t>0x8F</t>
  </si>
  <si>
    <t>获取电机最大温度</t>
  </si>
  <si>
    <t>0x93</t>
  </si>
  <si>
    <t>获取驱动器最大温度值</t>
  </si>
  <si>
    <t>0x96</t>
  </si>
  <si>
    <t>0x97</t>
  </si>
  <si>
    <t>0x98</t>
  </si>
  <si>
    <t>保存到Flash默认参数</t>
  </si>
  <si>
    <t>0x99</t>
  </si>
  <si>
    <t>获取编码器外圈位置</t>
  </si>
  <si>
    <t>int32</t>
  </si>
  <si>
    <t>0x1C</t>
  </si>
  <si>
    <t>0x1D</t>
  </si>
  <si>
    <t>0x1E</t>
  </si>
  <si>
    <t>0x20</t>
  </si>
  <si>
    <t>0x21</t>
  </si>
  <si>
    <t>0x22</t>
  </si>
  <si>
    <t>0x23</t>
  </si>
  <si>
    <t>0x24</t>
  </si>
  <si>
    <t>0.01hz</t>
  </si>
  <si>
    <t>0x25</t>
  </si>
  <si>
    <t>0x26</t>
  </si>
  <si>
    <t>0x27</t>
  </si>
  <si>
    <t>0x29</t>
  </si>
  <si>
    <t>0x2A</t>
  </si>
  <si>
    <t>0x2B</t>
  </si>
  <si>
    <t>0x2D</t>
  </si>
  <si>
    <t>0x2E</t>
  </si>
  <si>
    <t>0x3A</t>
  </si>
  <si>
    <t>使用前建议通过6F指令备份电角度参数</t>
  </si>
  <si>
    <t>1cnt/s^2</t>
  </si>
  <si>
    <t>内部作为7段式双S曲线算法的参数，用于生成轮廓模式的运动曲线</t>
  </si>
  <si>
    <t>1cnt/s^3</t>
  </si>
  <si>
    <t>0x3F</t>
  </si>
  <si>
    <t>1kbps</t>
  </si>
  <si>
    <t>支持的波特率有：1000、500、250、125、100、50</t>
  </si>
  <si>
    <t>0x42</t>
  </si>
  <si>
    <t>设置目标电流并且获取电流速度位置反馈</t>
  </si>
  <si>
    <t>0x43</t>
  </si>
  <si>
    <t>设置目标速度并且获取电流速度位置反馈</t>
  </si>
  <si>
    <t>0x44</t>
  </si>
  <si>
    <t>设置目标位置并且获取电流速度位置反馈</t>
  </si>
  <si>
    <t>0x47</t>
  </si>
  <si>
    <t>0x53</t>
  </si>
  <si>
    <t>(当前位置=编码器位置 - 当前偏移值)</t>
  </si>
  <si>
    <t>0x59</t>
  </si>
  <si>
    <t>int16+int16</t>
  </si>
  <si>
    <t xml:space="preserve">-
</t>
  </si>
  <si>
    <t>0x5A</t>
  </si>
  <si>
    <t>float32</t>
  </si>
  <si>
    <t>1rad</t>
  </si>
  <si>
    <t>设置编码器工作模式</t>
  </si>
  <si>
    <t>8字节指令工作模式选择</t>
  </si>
  <si>
    <t>0x83</t>
  </si>
  <si>
    <t>设置电流环比例</t>
  </si>
  <si>
    <t>0x84</t>
  </si>
  <si>
    <t>设置电流环积分</t>
  </si>
  <si>
    <t>0x87</t>
  </si>
  <si>
    <t>设置过压阈值</t>
  </si>
  <si>
    <t>立即生效</t>
  </si>
  <si>
    <t>0x89</t>
  </si>
  <si>
    <t>设置低压阈值</t>
  </si>
  <si>
    <t>0x8D</t>
  </si>
  <si>
    <t>设置线圈最大温度</t>
  </si>
  <si>
    <t>0x91</t>
  </si>
  <si>
    <t>设置驱动板最大温度</t>
  </si>
  <si>
    <t>电机减速比</t>
  </si>
  <si>
    <t>PT解析KP最大值</t>
  </si>
  <si>
    <t>PT解析KD最大值</t>
  </si>
  <si>
    <t>PT解析KT最大值</t>
  </si>
  <si>
    <t>0x46</t>
  </si>
  <si>
    <t>PT解析最大值电流</t>
  </si>
  <si>
    <t>0x4A</t>
  </si>
  <si>
    <t>PT解析最小值位置</t>
  </si>
  <si>
    <t>0x4B</t>
  </si>
  <si>
    <t>PT解析最大值位置</t>
  </si>
  <si>
    <t>0x4C</t>
  </si>
  <si>
    <t>PT解析最小值速度</t>
  </si>
  <si>
    <t>0x4D</t>
  </si>
  <si>
    <t>PT解析最大值速度</t>
  </si>
  <si>
    <t>0x58</t>
  </si>
  <si>
    <t>电机通讯方式CAN/CANFD</t>
  </si>
  <si>
    <t>电机温度传感器类型</t>
  </si>
  <si>
    <t>位置环PID死区功能</t>
  </si>
  <si>
    <t>位置环PID死区功能最小值</t>
  </si>
  <si>
    <t>位置环PID死区功能最大值</t>
  </si>
  <si>
    <t>0x9A</t>
  </si>
  <si>
    <t>EtherCAT从站地址声明</t>
  </si>
  <si>
    <t>0x9B</t>
  </si>
  <si>
    <t>位置模式速度前馈系数</t>
  </si>
  <si>
    <t>0x9C</t>
  </si>
  <si>
    <t>位置模式速度前馈滤波时间</t>
  </si>
  <si>
    <t>0x9D</t>
  </si>
  <si>
    <t>位置控制方式</t>
  </si>
  <si>
    <t>71指令设置值：模式-1</t>
  </si>
  <si>
    <t>无响应</t>
  </si>
  <si>
    <t>71指令设置值：模式0</t>
  </si>
  <si>
    <t>71指令设置值：模式1</t>
  </si>
  <si>
    <t>CAN协议</t>
    <phoneticPr fontId="23" type="noConversion"/>
  </si>
  <si>
    <t>bit0代表电机内部软件错误，如电机运行时写入FLASH等 
bit1代表过压 
bit2代表欠压 
bit4代表启动错误 
bit5代表速度反馈错误 
bit6代表过流 
bit7代表软件错误，如电机运行时写入FLASH等 
bit16代表编码器通讯错误 
bit17代表电机温度过高 
bit18代表电路板温度过高 
bit19代表驱动芯片错误/电流过载 
bit20代表EtherCAT通讯错误(连接EC然后断开EC会产生，重启主站或 重新上电消除) 
Bit21代表位置追随误差过大错误(仅位置和轮廓位置模式会有，CAN默 认不开启此功能)</t>
    <phoneticPr fontId="23" type="noConversion"/>
  </si>
  <si>
    <t>回复五字节，首字节为报文指令，剩下四字节对应不同的控制模式详情见《电机通讯说明》</t>
    <phoneticPr fontId="23" type="noConversion"/>
  </si>
  <si>
    <t>-首字节为报文指令，后四字节低位在前高位在后顺序组合转化为十进制后为当前电流值</t>
    <phoneticPr fontId="23" type="noConversion"/>
  </si>
  <si>
    <t>转化为度每秒公式：(返回值/100/减速比)*360，固定为减速器高速端速度</t>
    <phoneticPr fontId="23" type="noConversion"/>
  </si>
  <si>
    <t>仅处在速度模式下有效</t>
    <phoneticPr fontId="23" type="noConversion"/>
  </si>
  <si>
    <t>单编时为减速器高速端位置，65536cnt*减速比为输出轴转一圈；双编默认为减速器低速端位置，262144cnt为输出轴转一圈</t>
    <phoneticPr fontId="23" type="noConversion"/>
  </si>
  <si>
    <t>仅处在位置模式下有效</t>
    <phoneticPr fontId="23" type="noConversion"/>
  </si>
  <si>
    <t>对应位为0表示无错误，为1表示出现错误
bit0代表电机内部软件错误，如电机运行时写入FLASH等
bit1代表过压
bit2代表欠压
bit4代表启动错误
bit5代表速度反馈错误
bit6代表过流
bit7代表软件错误，如电机运行时写入FLASH等
bit16代表编码器通讯错误
bit17代表电机温度过高
bit18代表电路板温度过高
bit19代表驱动芯片错误</t>
    <phoneticPr fontId="23" type="noConversion"/>
  </si>
  <si>
    <t>收到指令后电机即清除当前错误代码，清除后再查询还处于报错码则代表故障源还存在，需要先排除故障原因后再次清除</t>
    <phoneticPr fontId="23" type="noConversion"/>
  </si>
  <si>
    <t>后续可能修改；电机从Flash恢复参数，并保存到flash，停止状态下执行</t>
    <phoneticPr fontId="23" type="noConversion"/>
  </si>
  <si>
    <t>后续可能修改；请在电机停止时操作</t>
    <phoneticPr fontId="23" type="noConversion"/>
  </si>
  <si>
    <t>后续可能修改；电机从固件参数恢复参数，不保存到flash，停止状态下执行</t>
    <phoneticPr fontId="23" type="noConversion"/>
  </si>
  <si>
    <t>-</t>
    <phoneticPr fontId="23" type="noConversion"/>
  </si>
  <si>
    <t>供电电源的实时电压</t>
    <phoneticPr fontId="23" type="noConversion"/>
  </si>
  <si>
    <t>通过电机内置温度传感器获取温度</t>
    <phoneticPr fontId="23" type="noConversion"/>
  </si>
  <si>
    <t>通过驱动器板载温度传感器获取温度</t>
    <phoneticPr fontId="23" type="noConversion"/>
  </si>
  <si>
    <t>限制电机电流输出</t>
    <phoneticPr fontId="23" type="noConversion"/>
  </si>
  <si>
    <t>电角度对齐值（电机端16位）</t>
    <phoneticPr fontId="23" type="noConversion"/>
  </si>
  <si>
    <t>两字节电流mA+两字节速度0.01Hz+四字节位置cnt，此回复格式定位为CSP状态回复，其他指令也会有这个格式回复</t>
    <phoneticPr fontId="23" type="noConversion"/>
  </si>
  <si>
    <t>抱闸释放电机轴，可自由旋转</t>
    <phoneticPr fontId="23" type="noConversion"/>
  </si>
  <si>
    <t>抱闸锁定电机轴，阻止电机旋转，使能状态程序会自动恢复释放状态</t>
    <phoneticPr fontId="23" type="noConversion"/>
  </si>
  <si>
    <t>0：0-360度；1：±180度；2：±180度；1和2互差180度</t>
    <phoneticPr fontId="23" type="noConversion"/>
  </si>
  <si>
    <t>0：力位混合模式；1：轮廓位置模式</t>
    <phoneticPr fontId="23" type="noConversion"/>
  </si>
  <si>
    <t>仅双编有意义</t>
    <phoneticPr fontId="23" type="noConversion"/>
  </si>
  <si>
    <t>参数为目标电流，如果目标电流超出最大最小限制则无回复无动作，如果目标电流在范围内则进入电流控制模式并设置目标电流为参数值</t>
    <phoneticPr fontId="23" type="noConversion"/>
  </si>
  <si>
    <t>参数为目标速度，如果目标速度超出最大最小限制则无回复无动作，如果目标速度在范围内则进入速度控制模式并设置目标速度为参数值</t>
    <phoneticPr fontId="23" type="noConversion"/>
  </si>
  <si>
    <t>参数为目标位置，如果目标位置超出最大最小限制则无回复无动作，如果目标位置在范围内则进入位置控制模式并设置目标位置为参数值</t>
    <phoneticPr fontId="23" type="noConversion"/>
  </si>
  <si>
    <t>设置流程： (假设设置值为0x1234)
1: 发送3A 00 00 00 00
2: 发送3A 01 00 00 00
3: 发送3A 02 00 00 00
4: 发送3A 03 00 00 00
5: 发送3A 34 12 00 00
6: 发送0x0E 保存
用于电角度参数备份后重新写入或清零电角度重新对齐电角度，不按顺序发送会中止需要重新按流程发送</t>
    <phoneticPr fontId="23" type="noConversion"/>
  </si>
  <si>
    <t>用于设定轮廓模式的运动参数</t>
    <phoneticPr fontId="23" type="noConversion"/>
  </si>
  <si>
    <t>CSP状态回复参考41指令格式说明</t>
    <phoneticPr fontId="23" type="noConversion"/>
  </si>
  <si>
    <t>0为电流和速度模式下不开启位置限制
1为电流和速度模式下超过限位自动切换到位置模式把位置控到限位范围内</t>
    <phoneticPr fontId="23" type="noConversion"/>
  </si>
  <si>
    <t>定时自动上传CSP状态报文+无CAN报文超时报警停机功能
autosend = data1+(data2&lt;&lt;8)
connection = data3+(data4&lt;&lt;8)
发送间隔单位为1ms，必须大于1000/波特率，否则不回复
connection时间单位为1ms
自动发送内容固定为8字节CSP报文
connection时间超出没有收到数据则自动下使能停止电机</t>
    <phoneticPr fontId="23" type="noConversion"/>
  </si>
  <si>
    <t>0：0-360°模式
1：±180°模式
2：±180°模式，但与1互差180°</t>
    <phoneticPr fontId="23" type="noConversion"/>
  </si>
  <si>
    <t>0：力位混合模式
1：轮廓位置模式
其他：无响应</t>
    <phoneticPr fontId="23" type="noConversion"/>
  </si>
  <si>
    <t>与实际电机减速比设置一致，不一致可能导致校验出错，力位混合模式运行异常等</t>
    <phoneticPr fontId="23" type="noConversion"/>
  </si>
  <si>
    <t>EtherCAT从站地址声明是否应用取决于主站设置方式，若主站不使用从站地址声明的方式寻址，此处设置无意义</t>
    <phoneticPr fontId="23" type="noConversion"/>
  </si>
  <si>
    <t>位置模式电机内部解算指令速度并添加速度前馈的系数，越大速度前馈效果越大，过大会导致超调</t>
    <phoneticPr fontId="23" type="noConversion"/>
  </si>
  <si>
    <t>位置模式电机内部解算指令速度并添加速度前馈的滤波时间，用于抑制信号噪声，过大会导致延迟大前馈效果变差</t>
    <phoneticPr fontId="23" type="noConversion"/>
  </si>
  <si>
    <t>人形机器人腿部应用</t>
    <phoneticPr fontId="23" type="noConversion"/>
  </si>
  <si>
    <t>主站不做规划算法，单轴插补运动</t>
    <phoneticPr fontId="23" type="noConversion"/>
  </si>
  <si>
    <t>1字节</t>
    <phoneticPr fontId="23" type="noConversion"/>
  </si>
  <si>
    <t>0：全闭环控制，高速端速度控制低速端位置控制（外圈）
2：单高速端位置控制，但通过低速端初始化位置（内圈）</t>
    <phoneticPr fontId="23" type="noConversion"/>
  </si>
  <si>
    <t>8字节指令功能关闭</t>
    <phoneticPr fontId="23" type="noConversion"/>
  </si>
  <si>
    <t>0.01hz</t>
    <phoneticPr fontId="23" type="noConversion"/>
  </si>
  <si>
    <t>获取编码器0位映射模式</t>
    <phoneticPr fontId="2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</si>
</sst>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_);[Red]\(0.00\)"/>
    <numFmt numFmtId="177" formatCode="0.00_ "/>
    <numFmt numFmtId="178" formatCode="#,##0_ "/>
    <numFmt numFmtId="179" formatCode="0.0_ "/>
  </numFmts>
  <fonts count="28" x14ac:knownFonts="1">
    <font>
      <sz val="11"/>
      <color theme="1"/>
      <name val="等线"/>
      <charset val="134"/>
      <scheme val="minor"/>
    </font>
    <font>
      <sz val="11"/>
      <color theme="1"/>
      <name val="等线"/>
      <charset val="134"/>
      <scheme val="minor"/>
    </font>
    <font>
      <b/>
      <sz val="11"/>
      <color theme="1"/>
      <name val="等线"/>
      <charset val="134"/>
      <scheme val="minor"/>
    </font>
    <font>
      <sz val="11"/>
      <color theme="4"/>
      <name val="等线"/>
      <charset val="134"/>
      <scheme val="minor"/>
    </font>
    <font>
      <sz val="11"/>
      <color theme="10"/>
      <name val="等线"/>
      <charset val="134"/>
      <scheme val="minor"/>
    </font>
    <font>
      <b/>
      <sz val="20"/>
      <color theme="1"/>
      <name val="等线"/>
      <charset val="134"/>
      <scheme val="minor"/>
    </font>
    <font>
      <b/>
      <sz val="10"/>
      <color theme="1"/>
      <name val="等线"/>
      <charset val="134"/>
      <scheme val="minor"/>
    </font>
    <font>
      <b/>
      <sz val="20"/>
      <color theme="9" tint="-0.499984740745262"/>
      <name val="等线"/>
      <charset val="134"/>
      <scheme val="minor"/>
    </font>
    <font>
      <sz val="9"/>
      <color theme="1"/>
      <name val="等线"/>
      <charset val="134"/>
      <scheme val="minor"/>
    </font>
    <font>
      <b/>
      <sz val="11"/>
      <color theme="1"/>
      <name val="等线"/>
      <charset val="134"/>
      <scheme val="minor"/>
    </font>
    <font>
      <sz val="11"/>
      <color theme="2" tint="-0.249977111117893"/>
      <name val="等线"/>
      <charset val="134"/>
      <scheme val="minor"/>
    </font>
    <font>
      <sz val="11"/>
      <color rgb="FFFFC000"/>
      <name val="等线"/>
      <charset val="134"/>
      <scheme val="minor"/>
    </font>
    <font>
      <sz val="11"/>
      <color theme="0" tint="-0.249977111117893"/>
      <name val="等线"/>
      <charset val="134"/>
      <scheme val="minor"/>
    </font>
    <font>
      <u/>
      <sz val="11"/>
      <color theme="10"/>
      <name val="等线"/>
      <charset val="134"/>
      <scheme val="minor"/>
    </font>
    <font>
      <b/>
      <sz val="24"/>
      <color rgb="FFFFFFFF"/>
      <name val="等线"/>
      <charset val="134"/>
      <scheme val="minor"/>
    </font>
    <font>
      <b/>
      <sz val="24"/>
      <color rgb="FF1F2329"/>
      <name val="等线"/>
      <charset val="134"/>
      <scheme val="minor"/>
    </font>
    <font>
      <sz val="10"/>
      <color theme="1"/>
      <name val="等线"/>
      <charset val="134"/>
      <scheme val="minor"/>
    </font>
    <font>
      <b/>
      <sz val="10"/>
      <color rgb="FF000000"/>
      <name val="等线"/>
      <charset val="134"/>
      <scheme val="minor"/>
    </font>
    <font>
      <b/>
      <sz val="11"/>
      <color rgb="FF1F2329"/>
      <name val="等线"/>
      <charset val="134"/>
      <scheme val="minor"/>
    </font>
    <font>
      <sz val="10"/>
      <color rgb="FF000000"/>
      <name val="等线"/>
      <charset val="134"/>
      <scheme val="minor"/>
    </font>
    <font>
      <sz val="10"/>
      <color rgb="FF1F2329"/>
      <name val="等线"/>
      <charset val="134"/>
      <scheme val="minor"/>
    </font>
    <font>
      <sz val="10"/>
      <color rgb="FF373C43"/>
      <name val="等线"/>
      <charset val="134"/>
      <scheme val="minor"/>
    </font>
    <font>
      <sz val="10"/>
      <color rgb="FFF8F9FA"/>
      <name val="等线"/>
      <charset val="134"/>
      <scheme val="minor"/>
    </font>
    <font>
      <sz val="9"/>
      <name val="等线"/>
      <family val="3"/>
      <charset val="134"/>
      <scheme val="minor"/>
    </font>
    <font>
      <b/>
      <sz val="24"/>
      <color rgb="FFFFFFFF"/>
      <name val="等线"/>
      <family val="3"/>
      <charset val="134"/>
      <scheme val="minor"/>
    </font>
    <font>
      <sz val="10"/>
      <color theme="1"/>
      <name val="等线"/>
      <family val="3"/>
      <charset val="134"/>
      <scheme val="minor"/>
    </font>
    <font>
      <b/>
      <sz val="10"/>
      <color theme="1"/>
      <name val="等线"/>
      <family val="3"/>
      <charset val="134"/>
      <scheme val="minor"/>
    </font>
    <font>
      <sz val="10"/>
      <color rgb="FF000000"/>
      <name val="等线"/>
      <family val="3"/>
      <charset val="134"/>
      <scheme val="minor"/>
    </font>
  </fonts>
  <fills count="11">
    <fill>
      <patternFill patternType="none"/>
    </fill>
    <fill>
      <patternFill patternType="gray125"/>
    </fill>
    <fill>
      <patternFill patternType="solid">
        <fgColor rgb="FFFFFF00"/>
        <bgColor indexed="64"/>
      </patternFill>
    </fill>
    <fill>
      <patternFill patternType="solid">
        <fgColor rgb="FFB9D7EA"/>
        <bgColor indexed="64"/>
      </patternFill>
    </fill>
    <fill>
      <patternFill patternType="solid">
        <fgColor rgb="FFD6E6F2"/>
        <bgColor indexed="64"/>
      </patternFill>
    </fill>
    <fill>
      <patternFill patternType="solid">
        <fgColor rgb="FFFFFFFF"/>
        <bgColor indexed="64"/>
      </patternFill>
    </fill>
    <fill>
      <patternFill patternType="solid">
        <fgColor rgb="FFF7FBFC"/>
        <bgColor indexed="64"/>
      </patternFill>
    </fill>
    <fill>
      <patternFill patternType="solid">
        <fgColor theme="0"/>
        <bgColor indexed="64"/>
      </patternFill>
    </fill>
    <fill>
      <patternFill patternType="solid">
        <fgColor rgb="FF2EA121"/>
        <bgColor indexed="64"/>
      </patternFill>
    </fill>
    <fill>
      <patternFill patternType="solid">
        <fgColor rgb="FFDEE0E3"/>
        <bgColor indexed="64"/>
      </patternFill>
    </fill>
    <fill>
      <patternFill patternType="solid">
        <fgColor rgb="FFD9F5D6"/>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rgb="FF1F2329"/>
      </left>
      <right style="thin">
        <color rgb="FF1F2329"/>
      </right>
      <top style="thin">
        <color rgb="FF1F2329"/>
      </top>
      <bottom style="thin">
        <color rgb="FF1F2329"/>
      </bottom>
      <diagonal/>
    </border>
    <border>
      <left style="thin">
        <color rgb="FF1F2329"/>
      </left>
      <right/>
      <top style="thin">
        <color rgb="FF1F2329"/>
      </top>
      <bottom/>
      <diagonal/>
    </border>
    <border>
      <left/>
      <right/>
      <top style="thin">
        <color rgb="FF1F2329"/>
      </top>
      <bottom/>
      <diagonal/>
    </border>
    <border>
      <left/>
      <right style="thin">
        <color rgb="FF1F2329"/>
      </right>
      <top style="thin">
        <color rgb="FF1F2329"/>
      </top>
      <bottom/>
      <diagonal/>
    </border>
    <border>
      <left style="thin">
        <color rgb="FF1F2329"/>
      </left>
      <right/>
      <top/>
      <bottom/>
      <diagonal/>
    </border>
    <border>
      <left/>
      <right style="thin">
        <color rgb="FF1F2329"/>
      </right>
      <top/>
      <bottom/>
      <diagonal/>
    </border>
    <border>
      <left style="thin">
        <color rgb="FF1F2329"/>
      </left>
      <right/>
      <top/>
      <bottom style="thin">
        <color rgb="FF1F2329"/>
      </bottom>
      <diagonal/>
    </border>
    <border>
      <left/>
      <right/>
      <top/>
      <bottom style="thin">
        <color rgb="FF1F2329"/>
      </bottom>
      <diagonal/>
    </border>
    <border>
      <left/>
      <right style="thin">
        <color rgb="FF1F2329"/>
      </right>
      <top/>
      <bottom style="thin">
        <color rgb="FF1F2329"/>
      </bottom>
      <diagonal/>
    </border>
    <border>
      <left style="thin">
        <color rgb="FFDEE0E3"/>
      </left>
      <right style="thin">
        <color rgb="FFDEE0E3"/>
      </right>
      <top style="thin">
        <color rgb="FFDEE0E3"/>
      </top>
      <bottom style="thin">
        <color rgb="FFDEE0E3"/>
      </bottom>
      <diagonal/>
    </border>
    <border>
      <left style="thin">
        <color rgb="FF1F2329"/>
      </left>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DEE0E3"/>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style="thin">
        <color rgb="FFDEE0E3"/>
      </left>
      <right style="thin">
        <color rgb="FF1F2329"/>
      </right>
      <top style="thin">
        <color rgb="FF1F2329"/>
      </top>
      <bottom style="thin">
        <color rgb="FF1F2329"/>
      </bottom>
      <diagonal/>
    </border>
    <border>
      <left style="thin">
        <color rgb="FF1F2329"/>
      </left>
      <right style="thin">
        <color rgb="FFDEE0E3"/>
      </right>
      <top style="thin">
        <color rgb="FF1F2329"/>
      </top>
      <bottom style="thin">
        <color rgb="FF1F2329"/>
      </bottom>
      <diagonal/>
    </border>
    <border>
      <left/>
      <right/>
      <top style="thin">
        <color rgb="FF1F2329"/>
      </top>
      <bottom style="thin">
        <color rgb="FF1F2329"/>
      </bottom>
      <diagonal/>
    </border>
  </borders>
  <cellStyleXfs count="2">
    <xf numFmtId="0" fontId="0" fillId="0" borderId="0"/>
    <xf numFmtId="0" fontId="13" fillId="0" borderId="0"/>
  </cellStyleXfs>
  <cellXfs count="111">
    <xf numFmtId="0" fontId="0" fillId="0" borderId="0" xfId="0"/>
    <xf numFmtId="0" fontId="0" fillId="0" borderId="1" xfId="0" applyBorder="1"/>
    <xf numFmtId="0" fontId="1" fillId="0" borderId="0" xfId="0" applyFont="1"/>
    <xf numFmtId="0" fontId="1" fillId="0" borderId="1" xfId="0" applyFont="1" applyBorder="1"/>
    <xf numFmtId="0" fontId="0" fillId="0" borderId="1" xfId="0"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Alignment="1">
      <alignment horizontal="center"/>
    </xf>
    <xf numFmtId="176" fontId="0" fillId="0" borderId="0" xfId="0" applyNumberFormat="1"/>
    <xf numFmtId="0" fontId="1" fillId="0" borderId="0" xfId="0" applyFont="1" applyAlignment="1">
      <alignment horizontal="center"/>
    </xf>
    <xf numFmtId="176" fontId="2" fillId="0" borderId="0" xfId="0" applyNumberFormat="1" applyFont="1" applyAlignment="1">
      <alignment horizontal="center"/>
    </xf>
    <xf numFmtId="0" fontId="3" fillId="0" borderId="0" xfId="0" applyFont="1"/>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wrapText="1"/>
    </xf>
    <xf numFmtId="0" fontId="4" fillId="0" borderId="0" xfId="1" applyFont="1"/>
    <xf numFmtId="0" fontId="0" fillId="0" borderId="0" xfId="0" applyAlignment="1">
      <alignment vertical="center"/>
    </xf>
    <xf numFmtId="0" fontId="8" fillId="0" borderId="1" xfId="0" applyFont="1" applyBorder="1" applyAlignment="1">
      <alignment horizontal="center" vertical="center"/>
    </xf>
    <xf numFmtId="177" fontId="0" fillId="0" borderId="1" xfId="0" applyNumberFormat="1" applyBorder="1" applyAlignment="1">
      <alignment horizontal="center" vertical="center"/>
    </xf>
    <xf numFmtId="178" fontId="0" fillId="0" borderId="1" xfId="0" applyNumberFormat="1" applyBorder="1" applyAlignment="1">
      <alignment horizontal="center" vertical="center"/>
    </xf>
    <xf numFmtId="179" fontId="0" fillId="0" borderId="1" xfId="0" applyNumberFormat="1" applyBorder="1" applyAlignment="1">
      <alignment horizontal="center" vertical="center"/>
    </xf>
    <xf numFmtId="176" fontId="0" fillId="0" borderId="0" xfId="0" applyNumberFormat="1" applyAlignment="1">
      <alignment horizontal="center" vertical="center"/>
    </xf>
    <xf numFmtId="0" fontId="0" fillId="2" borderId="0" xfId="0" applyFill="1" applyAlignment="1">
      <alignment horizontal="center"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0" fillId="0" borderId="0" xfId="0" applyAlignment="1">
      <alignment vertical="center" wrapText="1"/>
    </xf>
    <xf numFmtId="0" fontId="12" fillId="0" borderId="0" xfId="0" applyFont="1" applyAlignment="1">
      <alignment horizontal="left" vertical="center" wrapText="1"/>
    </xf>
    <xf numFmtId="0" fontId="0" fillId="0" borderId="0" xfId="0" applyAlignment="1">
      <alignment horizontal="center" vertical="center" wrapText="1"/>
    </xf>
    <xf numFmtId="0" fontId="16" fillId="5" borderId="11" xfId="0" applyFont="1" applyFill="1" applyBorder="1" applyAlignment="1">
      <alignment vertical="center"/>
    </xf>
    <xf numFmtId="0" fontId="17" fillId="3" borderId="2" xfId="0" applyFont="1" applyFill="1" applyBorder="1" applyAlignment="1">
      <alignment horizontal="center" vertical="center"/>
    </xf>
    <xf numFmtId="0" fontId="17" fillId="3" borderId="2" xfId="0" applyFont="1" applyFill="1" applyBorder="1" applyAlignment="1">
      <alignment horizontal="left" vertical="center"/>
    </xf>
    <xf numFmtId="0" fontId="2" fillId="5" borderId="11" xfId="0" applyFont="1" applyFill="1" applyBorder="1" applyAlignment="1">
      <alignment horizontal="center" vertical="center"/>
    </xf>
    <xf numFmtId="0" fontId="18" fillId="5" borderId="11" xfId="0" applyFont="1" applyFill="1" applyBorder="1" applyAlignment="1">
      <alignment horizontal="center" vertical="center"/>
    </xf>
    <xf numFmtId="0" fontId="16" fillId="0" borderId="2" xfId="0" applyFont="1" applyBorder="1" applyAlignment="1">
      <alignment horizontal="left" vertical="center"/>
    </xf>
    <xf numFmtId="0" fontId="18" fillId="9" borderId="14" xfId="0" applyFont="1" applyFill="1" applyBorder="1" applyAlignment="1">
      <alignment horizontal="center" vertical="center"/>
    </xf>
    <xf numFmtId="0" fontId="18" fillId="9" borderId="14" xfId="0" applyFont="1" applyFill="1" applyBorder="1" applyAlignment="1">
      <alignment horizontal="left" vertical="center"/>
    </xf>
    <xf numFmtId="0" fontId="19" fillId="5" borderId="2" xfId="0" applyFont="1" applyFill="1" applyBorder="1" applyAlignment="1">
      <alignment horizontal="center" vertical="center"/>
    </xf>
    <xf numFmtId="0" fontId="19" fillId="0" borderId="2" xfId="0" applyFont="1" applyBorder="1" applyAlignment="1">
      <alignment horizontal="center" vertical="center"/>
    </xf>
    <xf numFmtId="0" fontId="19" fillId="5" borderId="2" xfId="0" applyFont="1" applyFill="1" applyBorder="1" applyAlignment="1">
      <alignment horizontal="left" vertical="center"/>
    </xf>
    <xf numFmtId="0" fontId="16" fillId="0" borderId="18" xfId="0" applyFont="1" applyBorder="1" applyAlignment="1">
      <alignment horizontal="left" vertical="center"/>
    </xf>
    <xf numFmtId="0" fontId="16" fillId="0" borderId="2" xfId="0" applyFont="1" applyBorder="1" applyAlignment="1">
      <alignment horizontal="center" vertical="center"/>
    </xf>
    <xf numFmtId="0" fontId="16" fillId="0" borderId="11" xfId="0" applyFont="1" applyBorder="1" applyAlignment="1">
      <alignment vertical="center"/>
    </xf>
    <xf numFmtId="0" fontId="19" fillId="0" borderId="11" xfId="0" applyFont="1" applyBorder="1" applyAlignment="1">
      <alignment vertical="center"/>
    </xf>
    <xf numFmtId="0" fontId="19" fillId="0" borderId="11" xfId="0" applyFont="1" applyBorder="1" applyAlignment="1">
      <alignment horizontal="left" vertical="center"/>
    </xf>
    <xf numFmtId="0" fontId="16" fillId="10" borderId="2"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2" xfId="0" applyFont="1" applyFill="1" applyBorder="1" applyAlignment="1">
      <alignment horizontal="left" vertical="center"/>
    </xf>
    <xf numFmtId="0" fontId="19" fillId="0" borderId="2" xfId="0" applyFont="1" applyBorder="1" applyAlignment="1">
      <alignment horizontal="left" vertical="center"/>
    </xf>
    <xf numFmtId="0" fontId="20" fillId="5" borderId="2" xfId="0" applyFont="1" applyFill="1" applyBorder="1" applyAlignment="1">
      <alignment horizontal="center" vertical="center"/>
    </xf>
    <xf numFmtId="0" fontId="20" fillId="0" borderId="2" xfId="0" applyFont="1" applyBorder="1" applyAlignment="1">
      <alignment horizontal="center" vertical="center"/>
    </xf>
    <xf numFmtId="0" fontId="20" fillId="5" borderId="2" xfId="0" applyFont="1" applyFill="1" applyBorder="1" applyAlignment="1">
      <alignment horizontal="left" vertical="center"/>
    </xf>
    <xf numFmtId="0" fontId="16" fillId="5" borderId="18" xfId="0" applyFont="1" applyFill="1" applyBorder="1" applyAlignment="1">
      <alignment horizontal="left" vertical="center"/>
    </xf>
    <xf numFmtId="0" fontId="16" fillId="5" borderId="2" xfId="0" applyFont="1" applyFill="1" applyBorder="1" applyAlignment="1">
      <alignment horizontal="center" vertical="center"/>
    </xf>
    <xf numFmtId="0" fontId="21" fillId="5" borderId="2" xfId="0" applyFont="1" applyFill="1" applyBorder="1" applyAlignment="1">
      <alignment horizontal="center" vertical="center"/>
    </xf>
    <xf numFmtId="0" fontId="21" fillId="5" borderId="2" xfId="0" applyFont="1" applyFill="1" applyBorder="1" applyAlignment="1">
      <alignment horizontal="left" vertical="center"/>
    </xf>
    <xf numFmtId="0" fontId="19" fillId="0" borderId="11" xfId="0" applyFont="1" applyBorder="1" applyAlignment="1">
      <alignment horizontal="center" vertical="center"/>
    </xf>
    <xf numFmtId="0" fontId="16" fillId="0" borderId="19" xfId="0" applyFont="1" applyBorder="1" applyAlignment="1">
      <alignment horizontal="center" vertical="center"/>
    </xf>
    <xf numFmtId="0" fontId="16" fillId="0" borderId="11" xfId="0" applyFont="1" applyBorder="1" applyAlignment="1">
      <alignment horizontal="center" vertical="center"/>
    </xf>
    <xf numFmtId="0" fontId="16" fillId="0" borderId="11" xfId="0" applyFont="1" applyBorder="1" applyAlignment="1">
      <alignment horizontal="left" vertical="center"/>
    </xf>
    <xf numFmtId="0" fontId="25" fillId="0" borderId="18" xfId="0" applyFont="1" applyBorder="1" applyAlignment="1">
      <alignment horizontal="center" vertical="center" wrapText="1"/>
    </xf>
    <xf numFmtId="0" fontId="19" fillId="7" borderId="2" xfId="0" applyFont="1" applyFill="1" applyBorder="1" applyAlignment="1">
      <alignment horizontal="center" vertical="center"/>
    </xf>
    <xf numFmtId="0" fontId="22" fillId="7" borderId="2" xfId="0" applyFont="1" applyFill="1" applyBorder="1" applyAlignment="1">
      <alignment horizontal="center" vertical="center"/>
    </xf>
    <xf numFmtId="0" fontId="25" fillId="7" borderId="2" xfId="0" applyFont="1" applyFill="1" applyBorder="1" applyAlignment="1">
      <alignment horizontal="left" vertical="center"/>
    </xf>
    <xf numFmtId="0" fontId="16" fillId="7" borderId="18" xfId="0" applyFont="1" applyFill="1" applyBorder="1" applyAlignment="1">
      <alignment horizontal="left" vertical="center"/>
    </xf>
    <xf numFmtId="0" fontId="20" fillId="7" borderId="2" xfId="0" applyFont="1" applyFill="1" applyBorder="1" applyAlignment="1">
      <alignment horizontal="center" vertical="center"/>
    </xf>
    <xf numFmtId="0" fontId="16" fillId="7" borderId="11" xfId="0" applyFont="1" applyFill="1" applyBorder="1" applyAlignment="1">
      <alignment vertical="center"/>
    </xf>
    <xf numFmtId="0" fontId="15" fillId="7" borderId="2" xfId="0" applyFont="1" applyFill="1" applyBorder="1" applyAlignment="1">
      <alignment horizontal="center" vertical="center"/>
    </xf>
    <xf numFmtId="0" fontId="18" fillId="7" borderId="2" xfId="0" applyFont="1" applyFill="1" applyBorder="1" applyAlignment="1">
      <alignment horizontal="center" vertical="center"/>
    </xf>
    <xf numFmtId="0" fontId="18" fillId="7" borderId="14" xfId="0" applyFont="1" applyFill="1" applyBorder="1" applyAlignment="1">
      <alignment horizontal="center" vertical="center"/>
    </xf>
    <xf numFmtId="0" fontId="20" fillId="7" borderId="11" xfId="0" applyFont="1" applyFill="1" applyBorder="1" applyAlignment="1">
      <alignment vertical="center"/>
    </xf>
    <xf numFmtId="0" fontId="20" fillId="7" borderId="11" xfId="0" applyFont="1" applyFill="1" applyBorder="1" applyAlignment="1">
      <alignment horizontal="center" vertical="center"/>
    </xf>
    <xf numFmtId="0" fontId="0" fillId="7" borderId="0" xfId="0" applyFill="1" applyAlignment="1">
      <alignment horizontal="left" vertical="center" wrapText="1"/>
    </xf>
    <xf numFmtId="0" fontId="16" fillId="7" borderId="2" xfId="0" applyFont="1" applyFill="1" applyBorder="1" applyAlignment="1">
      <alignment horizontal="center" vertical="center"/>
    </xf>
    <xf numFmtId="0" fontId="19" fillId="7" borderId="2" xfId="0" applyFont="1" applyFill="1" applyBorder="1" applyAlignment="1">
      <alignment horizontal="left" vertical="center"/>
    </xf>
    <xf numFmtId="0" fontId="25" fillId="0" borderId="2" xfId="0" applyFont="1" applyBorder="1" applyAlignment="1">
      <alignment horizontal="center" vertical="center"/>
    </xf>
    <xf numFmtId="0" fontId="19" fillId="4" borderId="15" xfId="0" applyFont="1" applyFill="1" applyBorder="1" applyAlignment="1">
      <alignment horizontal="center" vertical="center"/>
    </xf>
    <xf numFmtId="0" fontId="19" fillId="4" borderId="16" xfId="0" applyFont="1" applyFill="1" applyBorder="1" applyAlignment="1">
      <alignment horizontal="center" vertical="center"/>
    </xf>
    <xf numFmtId="0" fontId="19" fillId="4" borderId="17" xfId="0" applyFont="1" applyFill="1" applyBorder="1" applyAlignment="1">
      <alignment horizontal="center" vertical="center"/>
    </xf>
    <xf numFmtId="0" fontId="19" fillId="5" borderId="15" xfId="0" applyFont="1" applyFill="1" applyBorder="1" applyAlignment="1">
      <alignment horizontal="center" vertical="center"/>
    </xf>
    <xf numFmtId="0" fontId="19" fillId="5" borderId="16" xfId="0" applyFont="1" applyFill="1" applyBorder="1" applyAlignment="1">
      <alignment horizontal="center" vertical="center"/>
    </xf>
    <xf numFmtId="0" fontId="19" fillId="5" borderId="17" xfId="0" applyFont="1" applyFill="1" applyBorder="1" applyAlignment="1">
      <alignment horizontal="center" vertical="center"/>
    </xf>
    <xf numFmtId="0" fontId="19" fillId="5" borderId="12" xfId="0" applyFont="1" applyFill="1" applyBorder="1" applyAlignment="1">
      <alignment horizontal="center" vertical="center"/>
    </xf>
    <xf numFmtId="0" fontId="19" fillId="5" borderId="20" xfId="0" applyFont="1" applyFill="1" applyBorder="1" applyAlignment="1">
      <alignment horizontal="center" vertical="center"/>
    </xf>
    <xf numFmtId="0" fontId="19" fillId="5" borderId="13" xfId="0" applyFont="1" applyFill="1" applyBorder="1" applyAlignment="1">
      <alignment horizontal="center" vertical="center"/>
    </xf>
    <xf numFmtId="0" fontId="26" fillId="0" borderId="16" xfId="0" applyFont="1" applyBorder="1" applyAlignment="1">
      <alignment horizontal="center" vertical="center"/>
    </xf>
    <xf numFmtId="0" fontId="16" fillId="0" borderId="16" xfId="0" applyFont="1" applyBorder="1" applyAlignment="1">
      <alignment horizontal="center" vertical="center"/>
    </xf>
    <xf numFmtId="0" fontId="17" fillId="4" borderId="16" xfId="0" applyFont="1" applyFill="1" applyBorder="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24" fillId="8" borderId="3" xfId="0" applyFont="1" applyFill="1" applyBorder="1" applyAlignment="1">
      <alignment horizontal="center" vertical="center"/>
    </xf>
    <xf numFmtId="0" fontId="14" fillId="8" borderId="4" xfId="0" applyFont="1" applyFill="1" applyBorder="1" applyAlignment="1">
      <alignment horizontal="center" vertical="center"/>
    </xf>
    <xf numFmtId="0" fontId="14" fillId="8" borderId="5" xfId="0" applyFont="1" applyFill="1" applyBorder="1" applyAlignment="1">
      <alignment horizontal="center" vertical="center"/>
    </xf>
    <xf numFmtId="0" fontId="14" fillId="8" borderId="6" xfId="0" applyFont="1" applyFill="1" applyBorder="1" applyAlignment="1">
      <alignment horizontal="center" vertical="center"/>
    </xf>
    <xf numFmtId="0" fontId="14" fillId="8" borderId="0" xfId="0" applyFont="1" applyFill="1" applyAlignment="1">
      <alignment horizontal="center" vertical="center"/>
    </xf>
    <xf numFmtId="0" fontId="14" fillId="8" borderId="7" xfId="0" applyFont="1" applyFill="1" applyBorder="1" applyAlignment="1">
      <alignment horizontal="center" vertical="center"/>
    </xf>
    <xf numFmtId="0" fontId="14" fillId="8" borderId="8" xfId="0" applyFont="1" applyFill="1" applyBorder="1" applyAlignment="1">
      <alignment horizontal="center" vertical="center"/>
    </xf>
    <xf numFmtId="0" fontId="14" fillId="8" borderId="9" xfId="0" applyFont="1" applyFill="1" applyBorder="1" applyAlignment="1">
      <alignment horizontal="center" vertical="center"/>
    </xf>
    <xf numFmtId="0" fontId="14" fillId="8" borderId="10" xfId="0" applyFont="1" applyFill="1" applyBorder="1" applyAlignment="1">
      <alignment horizontal="center" vertical="center"/>
    </xf>
    <xf numFmtId="0" fontId="0" fillId="0" borderId="0" xfId="0" applyAlignment="1">
      <alignment horizontal="left" vertical="center" wrapText="1"/>
    </xf>
    <xf numFmtId="0" fontId="0" fillId="0" borderId="1" xfId="0" applyBorder="1" applyAlignment="1">
      <alignment horizontal="center" vertical="center"/>
    </xf>
    <xf numFmtId="178" fontId="0" fillId="0" borderId="1" xfId="0" applyNumberFormat="1" applyBorder="1" applyAlignment="1">
      <alignment horizontal="center" vertical="center"/>
    </xf>
    <xf numFmtId="0" fontId="5" fillId="0" borderId="1" xfId="0" applyFont="1" applyBorder="1" applyAlignment="1">
      <alignment horizontal="center" vertical="center"/>
    </xf>
    <xf numFmtId="0" fontId="7" fillId="0" borderId="1" xfId="0" applyFont="1" applyBorder="1" applyAlignment="1">
      <alignment horizontal="center" vertical="center"/>
    </xf>
    <xf numFmtId="0" fontId="9" fillId="0" borderId="1" xfId="0" applyFont="1" applyBorder="1" applyAlignment="1">
      <alignment horizontal="center" vertical="center"/>
    </xf>
    <xf numFmtId="0" fontId="0" fillId="0" borderId="1" xfId="0" applyBorder="1" applyAlignment="1">
      <alignment horizontal="center"/>
    </xf>
    <xf numFmtId="179" fontId="0" fillId="0" borderId="1" xfId="0" applyNumberFormat="1" applyBorder="1" applyAlignment="1">
      <alignment horizontal="center" vertical="center"/>
    </xf>
    <xf numFmtId="177" fontId="0" fillId="0" borderId="1" xfId="0" applyNumberForma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27" fillId="6" borderId="2" xfId="0" applyFont="1" applyFill="1" applyBorder="1" applyAlignment="1">
      <alignment horizontal="left"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www.wps.cn/officeDocument/2023/relationships/customStorage" Target="customStorage/customStorage.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7712075</xdr:colOff>
      <xdr:row>0</xdr:row>
      <xdr:rowOff>1025525</xdr:rowOff>
    </xdr:from>
    <xdr:to>
      <xdr:col>8</xdr:col>
      <xdr:colOff>27886</xdr:colOff>
      <xdr:row>2</xdr:row>
      <xdr:rowOff>49882</xdr:rowOff>
    </xdr:to>
    <xdr:pic>
      <xdr:nvPicPr>
        <xdr:cNvPr id="2" name="图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9178925" y="1025525"/>
          <a:ext cx="6145530" cy="457708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0"/>
  <sheetViews>
    <sheetView tabSelected="1" zoomScale="80" zoomScaleNormal="80" workbookViewId="0">
      <pane xSplit="2" ySplit="2" topLeftCell="D81" activePane="bottomRight" state="frozen"/>
      <selection pane="topRight"/>
      <selection pane="bottomLeft"/>
      <selection pane="bottomRight" activeCell="K99" sqref="K99"/>
    </sheetView>
  </sheetViews>
  <sheetFormatPr defaultColWidth="9" defaultRowHeight="13.9" x14ac:dyDescent="0.4"/>
  <cols>
    <col min="1" max="1" width="10.33203125" style="13" customWidth="1"/>
    <col min="2" max="2" width="5.86328125" style="27" customWidth="1"/>
    <col min="3" max="3" width="7.19921875" style="27" customWidth="1"/>
    <col min="4" max="4" width="28.33203125" style="13" customWidth="1"/>
    <col min="5" max="5" width="8.19921875" style="27" customWidth="1"/>
    <col min="6" max="6" width="16.6640625" style="27" customWidth="1"/>
    <col min="7" max="7" width="33.9296875" style="13" customWidth="1"/>
    <col min="8" max="8" width="29.6640625" style="25" customWidth="1"/>
    <col min="9" max="9" width="9" style="13" customWidth="1"/>
    <col min="10" max="10" width="9" style="13"/>
    <col min="11" max="11" width="17.53125" style="13" customWidth="1"/>
    <col min="12" max="12" width="9" style="13"/>
    <col min="13" max="13" width="92.6640625" style="13" customWidth="1"/>
    <col min="14" max="14" width="9" style="71"/>
    <col min="15" max="16384" width="9" style="13"/>
  </cols>
  <sheetData>
    <row r="1" spans="1:22" ht="78.95" customHeight="1" x14ac:dyDescent="0.4">
      <c r="A1" s="89" t="s">
        <v>355</v>
      </c>
      <c r="B1" s="90"/>
      <c r="C1" s="90"/>
      <c r="D1" s="90"/>
      <c r="E1" s="90"/>
      <c r="F1" s="90"/>
      <c r="G1" s="90"/>
      <c r="H1" s="90"/>
      <c r="I1" s="90"/>
      <c r="J1" s="90"/>
      <c r="K1" s="90"/>
      <c r="L1" s="90"/>
      <c r="M1" s="91"/>
      <c r="N1" s="66"/>
      <c r="O1" s="28"/>
      <c r="P1" s="28"/>
      <c r="Q1" s="28"/>
      <c r="R1" s="28"/>
      <c r="S1" s="28"/>
      <c r="T1" s="28"/>
      <c r="U1" s="28"/>
      <c r="V1" s="28"/>
    </row>
    <row r="2" spans="1:22" ht="19.5" customHeight="1" x14ac:dyDescent="0.4">
      <c r="A2" s="92"/>
      <c r="B2" s="93"/>
      <c r="C2" s="93"/>
      <c r="D2" s="93"/>
      <c r="E2" s="93"/>
      <c r="F2" s="93"/>
      <c r="G2" s="93"/>
      <c r="H2" s="93"/>
      <c r="I2" s="93"/>
      <c r="J2" s="93"/>
      <c r="K2" s="93"/>
      <c r="L2" s="93"/>
      <c r="M2" s="94"/>
      <c r="N2" s="66"/>
      <c r="O2" s="28"/>
      <c r="P2" s="28"/>
      <c r="Q2" s="28"/>
      <c r="R2" s="28"/>
      <c r="S2" s="28"/>
      <c r="T2" s="28"/>
      <c r="U2" s="28"/>
      <c r="V2" s="28"/>
    </row>
    <row r="3" spans="1:22" ht="19.5" customHeight="1" x14ac:dyDescent="0.4">
      <c r="A3" s="95"/>
      <c r="B3" s="96"/>
      <c r="C3" s="96"/>
      <c r="D3" s="96"/>
      <c r="E3" s="96"/>
      <c r="F3" s="96"/>
      <c r="G3" s="96"/>
      <c r="H3" s="96"/>
      <c r="I3" s="96"/>
      <c r="J3" s="96"/>
      <c r="K3" s="96"/>
      <c r="L3" s="96"/>
      <c r="M3" s="97"/>
      <c r="N3" s="66"/>
      <c r="O3" s="28"/>
      <c r="P3" s="28"/>
      <c r="Q3" s="28"/>
      <c r="R3" s="28"/>
      <c r="S3" s="28"/>
      <c r="T3" s="28"/>
      <c r="U3" s="28"/>
      <c r="V3" s="28"/>
    </row>
    <row r="4" spans="1:22" ht="19.5" customHeight="1" x14ac:dyDescent="0.4">
      <c r="A4" s="29"/>
      <c r="B4" s="29"/>
      <c r="C4" s="29"/>
      <c r="D4" s="29"/>
      <c r="E4" s="29"/>
      <c r="F4" s="29"/>
      <c r="G4" s="30"/>
      <c r="H4" s="29"/>
      <c r="I4" s="29"/>
      <c r="J4" s="29"/>
      <c r="K4" s="30" t="s">
        <v>170</v>
      </c>
      <c r="L4" s="87" t="s">
        <v>171</v>
      </c>
      <c r="M4" s="88"/>
      <c r="N4" s="67"/>
      <c r="O4" s="31"/>
      <c r="P4" s="32"/>
      <c r="Q4" s="32"/>
      <c r="R4" s="32"/>
      <c r="S4" s="32"/>
      <c r="T4" s="32"/>
      <c r="U4" s="32"/>
      <c r="V4" s="32"/>
    </row>
    <row r="5" spans="1:22" ht="19.5" customHeight="1" x14ac:dyDescent="0.4">
      <c r="A5" s="29" t="s">
        <v>0</v>
      </c>
      <c r="B5" s="29" t="s">
        <v>1</v>
      </c>
      <c r="C5" s="29" t="s">
        <v>2</v>
      </c>
      <c r="D5" s="29" t="s">
        <v>172</v>
      </c>
      <c r="E5" s="29" t="s">
        <v>173</v>
      </c>
      <c r="F5" s="29" t="s">
        <v>5</v>
      </c>
      <c r="G5" s="30" t="s">
        <v>174</v>
      </c>
      <c r="H5" s="29" t="s">
        <v>3</v>
      </c>
      <c r="I5" s="29" t="s">
        <v>4</v>
      </c>
      <c r="J5" s="29" t="s">
        <v>5</v>
      </c>
      <c r="K5" s="33" t="s">
        <v>175</v>
      </c>
      <c r="L5" s="34" t="s">
        <v>176</v>
      </c>
      <c r="M5" s="35" t="s">
        <v>177</v>
      </c>
      <c r="N5" s="68"/>
      <c r="O5" s="31"/>
      <c r="P5" s="32"/>
      <c r="Q5" s="32"/>
      <c r="R5" s="32"/>
      <c r="S5" s="32"/>
      <c r="T5" s="32"/>
      <c r="U5" s="32"/>
      <c r="V5" s="32"/>
    </row>
    <row r="6" spans="1:22" ht="19.5" customHeight="1" x14ac:dyDescent="0.4">
      <c r="A6" s="84" t="s">
        <v>396</v>
      </c>
      <c r="B6" s="36">
        <v>2</v>
      </c>
      <c r="C6" s="37" t="s">
        <v>178</v>
      </c>
      <c r="D6" s="36" t="s">
        <v>7</v>
      </c>
      <c r="E6" s="36" t="s">
        <v>7</v>
      </c>
      <c r="F6" s="37" t="s">
        <v>7</v>
      </c>
      <c r="G6" s="38" t="s">
        <v>6</v>
      </c>
      <c r="H6" s="36" t="s">
        <v>7</v>
      </c>
      <c r="I6" s="36" t="s">
        <v>7</v>
      </c>
      <c r="J6" s="37" t="s">
        <v>7</v>
      </c>
      <c r="K6" s="43" t="s">
        <v>7</v>
      </c>
      <c r="L6" s="44" t="s">
        <v>179</v>
      </c>
      <c r="M6" s="39" t="s">
        <v>7</v>
      </c>
      <c r="N6" s="64"/>
      <c r="O6" s="41"/>
      <c r="P6" s="42"/>
      <c r="Q6" s="42"/>
      <c r="R6" s="42"/>
      <c r="S6" s="42"/>
      <c r="T6" s="42"/>
      <c r="U6" s="41"/>
      <c r="V6" s="41"/>
    </row>
    <row r="7" spans="1:22" ht="82.8" customHeight="1" x14ac:dyDescent="0.4">
      <c r="A7" s="85"/>
      <c r="B7" s="45">
        <v>3</v>
      </c>
      <c r="C7" s="37" t="s">
        <v>180</v>
      </c>
      <c r="D7" s="36" t="s">
        <v>7</v>
      </c>
      <c r="E7" s="36" t="s">
        <v>7</v>
      </c>
      <c r="F7" s="37" t="s">
        <v>7</v>
      </c>
      <c r="G7" s="46" t="s">
        <v>8</v>
      </c>
      <c r="H7" s="45" t="s">
        <v>9</v>
      </c>
      <c r="I7" s="45" t="s">
        <v>10</v>
      </c>
      <c r="J7" s="37" t="s">
        <v>7</v>
      </c>
      <c r="K7" s="59" t="s">
        <v>357</v>
      </c>
      <c r="L7" s="44" t="s">
        <v>179</v>
      </c>
      <c r="M7" s="39" t="s">
        <v>181</v>
      </c>
      <c r="N7" s="64"/>
      <c r="O7" s="41"/>
      <c r="P7" s="42"/>
      <c r="Q7" s="42"/>
      <c r="R7" s="42"/>
      <c r="S7" s="42"/>
      <c r="T7" s="42"/>
      <c r="U7" s="41"/>
      <c r="V7" s="41"/>
    </row>
    <row r="8" spans="1:22" ht="81.599999999999994" customHeight="1" x14ac:dyDescent="0.4">
      <c r="A8" s="85"/>
      <c r="B8" s="36">
        <v>4</v>
      </c>
      <c r="C8" s="37" t="s">
        <v>182</v>
      </c>
      <c r="D8" s="36" t="s">
        <v>7</v>
      </c>
      <c r="E8" s="36" t="s">
        <v>7</v>
      </c>
      <c r="F8" s="37" t="s">
        <v>7</v>
      </c>
      <c r="G8" s="38" t="s">
        <v>11</v>
      </c>
      <c r="H8" s="36" t="s">
        <v>9</v>
      </c>
      <c r="I8" s="36" t="s">
        <v>10</v>
      </c>
      <c r="J8" s="37" t="s">
        <v>183</v>
      </c>
      <c r="K8" s="59" t="s">
        <v>358</v>
      </c>
      <c r="L8" s="44" t="s">
        <v>179</v>
      </c>
      <c r="M8" s="39" t="s">
        <v>7</v>
      </c>
      <c r="N8" s="64"/>
      <c r="O8" s="41"/>
      <c r="P8" s="42"/>
      <c r="Q8" s="42"/>
      <c r="R8" s="42"/>
      <c r="S8" s="42"/>
      <c r="T8" s="42"/>
      <c r="U8" s="41"/>
      <c r="V8" s="41"/>
    </row>
    <row r="9" spans="1:22" ht="19.5" customHeight="1" x14ac:dyDescent="0.4">
      <c r="A9" s="85"/>
      <c r="B9" s="45">
        <v>5</v>
      </c>
      <c r="C9" s="37" t="s">
        <v>184</v>
      </c>
      <c r="D9" s="36" t="s">
        <v>7</v>
      </c>
      <c r="E9" s="36" t="s">
        <v>7</v>
      </c>
      <c r="F9" s="37" t="s">
        <v>7</v>
      </c>
      <c r="G9" s="46" t="s">
        <v>185</v>
      </c>
      <c r="H9" s="45" t="s">
        <v>9</v>
      </c>
      <c r="I9" s="45" t="s">
        <v>10</v>
      </c>
      <c r="J9" s="37" t="s">
        <v>183</v>
      </c>
      <c r="K9" s="47" t="s">
        <v>7</v>
      </c>
      <c r="L9" s="44" t="s">
        <v>179</v>
      </c>
      <c r="M9" s="39" t="s">
        <v>7</v>
      </c>
      <c r="N9" s="64"/>
      <c r="O9" s="41"/>
      <c r="P9" s="42"/>
      <c r="Q9" s="42"/>
      <c r="R9" s="42"/>
      <c r="S9" s="42"/>
      <c r="T9" s="42"/>
      <c r="U9" s="41"/>
      <c r="V9" s="41"/>
    </row>
    <row r="10" spans="1:22" ht="51" x14ac:dyDescent="0.4">
      <c r="A10" s="85"/>
      <c r="B10" s="36">
        <v>6</v>
      </c>
      <c r="C10" s="37" t="s">
        <v>186</v>
      </c>
      <c r="D10" s="36" t="s">
        <v>7</v>
      </c>
      <c r="E10" s="36" t="s">
        <v>7</v>
      </c>
      <c r="F10" s="37" t="s">
        <v>7</v>
      </c>
      <c r="G10" s="38" t="s">
        <v>12</v>
      </c>
      <c r="H10" s="36" t="s">
        <v>9</v>
      </c>
      <c r="I10" s="36" t="s">
        <v>10</v>
      </c>
      <c r="J10" s="37" t="s">
        <v>13</v>
      </c>
      <c r="K10" s="59" t="s">
        <v>359</v>
      </c>
      <c r="L10" s="44" t="s">
        <v>179</v>
      </c>
      <c r="M10" s="39" t="s">
        <v>7</v>
      </c>
      <c r="N10" s="64"/>
      <c r="O10" s="41"/>
      <c r="P10" s="40"/>
      <c r="Q10" s="42"/>
      <c r="R10" s="42"/>
      <c r="S10" s="42"/>
      <c r="T10" s="42"/>
      <c r="U10" s="41"/>
      <c r="V10" s="41"/>
    </row>
    <row r="11" spans="1:22" ht="55.25" customHeight="1" x14ac:dyDescent="0.4">
      <c r="A11" s="85"/>
      <c r="B11" s="45">
        <v>7</v>
      </c>
      <c r="C11" s="37" t="s">
        <v>187</v>
      </c>
      <c r="D11" s="36" t="s">
        <v>7</v>
      </c>
      <c r="E11" s="36" t="s">
        <v>7</v>
      </c>
      <c r="F11" s="37" t="s">
        <v>7</v>
      </c>
      <c r="G11" s="46" t="s">
        <v>14</v>
      </c>
      <c r="H11" s="45" t="s">
        <v>9</v>
      </c>
      <c r="I11" s="45" t="s">
        <v>10</v>
      </c>
      <c r="J11" s="37" t="s">
        <v>13</v>
      </c>
      <c r="K11" s="59" t="s">
        <v>360</v>
      </c>
      <c r="L11" s="44" t="s">
        <v>179</v>
      </c>
      <c r="M11" s="39" t="s">
        <v>7</v>
      </c>
      <c r="N11" s="64"/>
      <c r="O11" s="41"/>
      <c r="P11" s="42"/>
      <c r="Q11" s="42"/>
      <c r="R11" s="42"/>
      <c r="S11" s="42"/>
      <c r="T11" s="42"/>
      <c r="U11" s="41"/>
      <c r="V11" s="41"/>
    </row>
    <row r="12" spans="1:22" ht="96" customHeight="1" x14ac:dyDescent="0.4">
      <c r="A12" s="85"/>
      <c r="B12" s="36">
        <v>8</v>
      </c>
      <c r="C12" s="37" t="s">
        <v>188</v>
      </c>
      <c r="D12" s="36" t="s">
        <v>7</v>
      </c>
      <c r="E12" s="36" t="s">
        <v>7</v>
      </c>
      <c r="F12" s="37" t="s">
        <v>7</v>
      </c>
      <c r="G12" s="38" t="s">
        <v>15</v>
      </c>
      <c r="H12" s="36" t="s">
        <v>9</v>
      </c>
      <c r="I12" s="36" t="s">
        <v>10</v>
      </c>
      <c r="J12" s="37" t="s">
        <v>189</v>
      </c>
      <c r="K12" s="59" t="s">
        <v>361</v>
      </c>
      <c r="L12" s="44" t="s">
        <v>179</v>
      </c>
      <c r="M12" s="39" t="s">
        <v>190</v>
      </c>
      <c r="N12" s="64"/>
      <c r="O12" s="41"/>
      <c r="P12" s="41"/>
      <c r="Q12" s="41"/>
      <c r="R12" s="41"/>
      <c r="S12" s="41"/>
      <c r="T12" s="41"/>
      <c r="U12" s="41"/>
      <c r="V12" s="41"/>
    </row>
    <row r="13" spans="1:22" ht="69" customHeight="1" x14ac:dyDescent="0.4">
      <c r="A13" s="85"/>
      <c r="B13" s="45">
        <v>9</v>
      </c>
      <c r="C13" s="37" t="s">
        <v>191</v>
      </c>
      <c r="D13" s="36" t="s">
        <v>7</v>
      </c>
      <c r="E13" s="36" t="s">
        <v>7</v>
      </c>
      <c r="F13" s="37" t="s">
        <v>7</v>
      </c>
      <c r="G13" s="46" t="s">
        <v>17</v>
      </c>
      <c r="H13" s="45" t="s">
        <v>9</v>
      </c>
      <c r="I13" s="45" t="s">
        <v>10</v>
      </c>
      <c r="J13" s="37" t="s">
        <v>189</v>
      </c>
      <c r="K13" s="59" t="s">
        <v>362</v>
      </c>
      <c r="L13" s="44" t="s">
        <v>179</v>
      </c>
      <c r="M13" s="39" t="s">
        <v>7</v>
      </c>
      <c r="N13" s="64"/>
      <c r="O13" s="41"/>
      <c r="P13" s="41"/>
      <c r="Q13" s="41"/>
      <c r="R13" s="41"/>
      <c r="S13" s="41"/>
      <c r="T13" s="41"/>
      <c r="U13" s="41"/>
      <c r="V13" s="41"/>
    </row>
    <row r="14" spans="1:22" ht="307.25" customHeight="1" x14ac:dyDescent="0.4">
      <c r="A14" s="85"/>
      <c r="B14" s="36">
        <v>10</v>
      </c>
      <c r="C14" s="37" t="s">
        <v>192</v>
      </c>
      <c r="D14" s="36" t="s">
        <v>7</v>
      </c>
      <c r="E14" s="36" t="s">
        <v>7</v>
      </c>
      <c r="F14" s="37" t="s">
        <v>7</v>
      </c>
      <c r="G14" s="38" t="s">
        <v>18</v>
      </c>
      <c r="H14" s="36" t="s">
        <v>9</v>
      </c>
      <c r="I14" s="36" t="s">
        <v>193</v>
      </c>
      <c r="J14" s="37" t="s">
        <v>7</v>
      </c>
      <c r="K14" s="59" t="s">
        <v>363</v>
      </c>
      <c r="L14" s="44" t="s">
        <v>179</v>
      </c>
      <c r="M14" s="59" t="s">
        <v>356</v>
      </c>
      <c r="N14" s="64"/>
      <c r="O14" s="41"/>
      <c r="P14" s="41"/>
      <c r="Q14" s="41"/>
      <c r="R14" s="41"/>
      <c r="S14" s="41"/>
      <c r="T14" s="41"/>
      <c r="U14" s="41"/>
      <c r="V14" s="41"/>
    </row>
    <row r="15" spans="1:22" ht="103.8" customHeight="1" x14ac:dyDescent="0.4">
      <c r="A15" s="85"/>
      <c r="B15" s="45">
        <v>11</v>
      </c>
      <c r="C15" s="37" t="s">
        <v>194</v>
      </c>
      <c r="D15" s="36" t="s">
        <v>7</v>
      </c>
      <c r="E15" s="36" t="s">
        <v>7</v>
      </c>
      <c r="F15" s="37" t="s">
        <v>7</v>
      </c>
      <c r="G15" s="46" t="s">
        <v>19</v>
      </c>
      <c r="H15" s="45" t="s">
        <v>7</v>
      </c>
      <c r="I15" s="45" t="s">
        <v>7</v>
      </c>
      <c r="J15" s="37" t="s">
        <v>7</v>
      </c>
      <c r="K15" s="59" t="s">
        <v>364</v>
      </c>
      <c r="L15" s="44" t="s">
        <v>179</v>
      </c>
      <c r="M15" s="39" t="s">
        <v>7</v>
      </c>
      <c r="N15" s="64"/>
      <c r="O15" s="41"/>
      <c r="P15" s="41"/>
      <c r="Q15" s="41"/>
      <c r="R15" s="41"/>
      <c r="S15" s="41"/>
      <c r="T15" s="41"/>
      <c r="U15" s="41"/>
      <c r="V15" s="41"/>
    </row>
    <row r="16" spans="1:22" ht="60" customHeight="1" x14ac:dyDescent="0.4">
      <c r="A16" s="85"/>
      <c r="B16" s="36">
        <v>13</v>
      </c>
      <c r="C16" s="37" t="s">
        <v>195</v>
      </c>
      <c r="D16" s="36" t="s">
        <v>7</v>
      </c>
      <c r="E16" s="36" t="s">
        <v>7</v>
      </c>
      <c r="F16" s="37" t="s">
        <v>7</v>
      </c>
      <c r="G16" s="38" t="s">
        <v>20</v>
      </c>
      <c r="H16" s="36" t="s">
        <v>7</v>
      </c>
      <c r="I16" s="36" t="s">
        <v>7</v>
      </c>
      <c r="J16" s="37" t="s">
        <v>7</v>
      </c>
      <c r="K16" s="59" t="s">
        <v>365</v>
      </c>
      <c r="L16" s="44" t="s">
        <v>179</v>
      </c>
      <c r="M16" s="39" t="s">
        <v>7</v>
      </c>
      <c r="N16" s="64"/>
      <c r="O16" s="41"/>
      <c r="P16" s="41"/>
      <c r="Q16" s="41"/>
      <c r="R16" s="41"/>
      <c r="S16" s="41"/>
      <c r="T16" s="41"/>
      <c r="U16" s="41"/>
      <c r="V16" s="41"/>
    </row>
    <row r="17" spans="1:22" ht="54" customHeight="1" x14ac:dyDescent="0.4">
      <c r="A17" s="85"/>
      <c r="B17" s="45">
        <v>14</v>
      </c>
      <c r="C17" s="37" t="s">
        <v>196</v>
      </c>
      <c r="D17" s="36" t="s">
        <v>7</v>
      </c>
      <c r="E17" s="36" t="s">
        <v>7</v>
      </c>
      <c r="F17" s="37" t="s">
        <v>7</v>
      </c>
      <c r="G17" s="46" t="s">
        <v>21</v>
      </c>
      <c r="H17" s="45" t="s">
        <v>7</v>
      </c>
      <c r="I17" s="45" t="s">
        <v>7</v>
      </c>
      <c r="J17" s="37" t="s">
        <v>7</v>
      </c>
      <c r="K17" s="59" t="s">
        <v>366</v>
      </c>
      <c r="L17" s="44" t="s">
        <v>179</v>
      </c>
      <c r="M17" s="39" t="s">
        <v>7</v>
      </c>
      <c r="N17" s="64"/>
      <c r="O17" s="41"/>
      <c r="P17" s="41"/>
      <c r="Q17" s="41"/>
      <c r="R17" s="41"/>
      <c r="S17" s="41"/>
      <c r="T17" s="41"/>
      <c r="U17" s="41"/>
      <c r="V17" s="41"/>
    </row>
    <row r="18" spans="1:22" ht="54.6" customHeight="1" x14ac:dyDescent="0.4">
      <c r="A18" s="85"/>
      <c r="B18" s="36">
        <v>15</v>
      </c>
      <c r="C18" s="37" t="s">
        <v>197</v>
      </c>
      <c r="D18" s="36" t="s">
        <v>7</v>
      </c>
      <c r="E18" s="36" t="s">
        <v>7</v>
      </c>
      <c r="F18" s="37" t="s">
        <v>7</v>
      </c>
      <c r="G18" s="38" t="s">
        <v>198</v>
      </c>
      <c r="H18" s="36" t="s">
        <v>7</v>
      </c>
      <c r="I18" s="36" t="s">
        <v>7</v>
      </c>
      <c r="J18" s="37" t="s">
        <v>7</v>
      </c>
      <c r="K18" s="59" t="s">
        <v>367</v>
      </c>
      <c r="L18" s="44" t="s">
        <v>179</v>
      </c>
      <c r="M18" s="39" t="s">
        <v>7</v>
      </c>
      <c r="N18" s="64"/>
      <c r="O18" s="41"/>
      <c r="P18" s="41"/>
      <c r="Q18" s="41"/>
      <c r="R18" s="41"/>
      <c r="S18" s="41"/>
      <c r="T18" s="41"/>
      <c r="U18" s="41"/>
      <c r="V18" s="41"/>
    </row>
    <row r="19" spans="1:22" ht="19.5" customHeight="1" x14ac:dyDescent="0.4">
      <c r="A19" s="85"/>
      <c r="B19" s="45">
        <v>16</v>
      </c>
      <c r="C19" s="37" t="s">
        <v>90</v>
      </c>
      <c r="D19" s="36" t="s">
        <v>7</v>
      </c>
      <c r="E19" s="36" t="s">
        <v>7</v>
      </c>
      <c r="F19" s="37" t="s">
        <v>7</v>
      </c>
      <c r="G19" s="46" t="s">
        <v>22</v>
      </c>
      <c r="H19" s="45" t="s">
        <v>9</v>
      </c>
      <c r="I19" s="45" t="s">
        <v>10</v>
      </c>
      <c r="J19" s="37" t="s">
        <v>7</v>
      </c>
      <c r="K19" s="59" t="s">
        <v>368</v>
      </c>
      <c r="L19" s="44" t="s">
        <v>179</v>
      </c>
      <c r="M19" s="39" t="s">
        <v>7</v>
      </c>
      <c r="N19" s="64"/>
      <c r="O19" s="41"/>
      <c r="P19" s="41"/>
      <c r="Q19" s="41"/>
      <c r="R19" s="41"/>
      <c r="S19" s="41"/>
      <c r="T19" s="41"/>
      <c r="U19" s="41"/>
      <c r="V19" s="41"/>
    </row>
    <row r="20" spans="1:22" ht="19.5" customHeight="1" x14ac:dyDescent="0.4">
      <c r="A20" s="85"/>
      <c r="B20" s="36">
        <v>17</v>
      </c>
      <c r="C20" s="37" t="s">
        <v>92</v>
      </c>
      <c r="D20" s="36" t="s">
        <v>7</v>
      </c>
      <c r="E20" s="36" t="s">
        <v>7</v>
      </c>
      <c r="F20" s="37" t="s">
        <v>7</v>
      </c>
      <c r="G20" s="38" t="s">
        <v>23</v>
      </c>
      <c r="H20" s="36" t="s">
        <v>9</v>
      </c>
      <c r="I20" s="36" t="s">
        <v>10</v>
      </c>
      <c r="J20" s="37" t="s">
        <v>7</v>
      </c>
      <c r="K20" s="59" t="s">
        <v>368</v>
      </c>
      <c r="L20" s="44" t="s">
        <v>179</v>
      </c>
      <c r="M20" s="39" t="s">
        <v>7</v>
      </c>
      <c r="N20" s="64"/>
      <c r="O20" s="41"/>
      <c r="P20" s="41"/>
      <c r="Q20" s="41"/>
      <c r="R20" s="41"/>
      <c r="S20" s="41"/>
      <c r="T20" s="41"/>
      <c r="U20" s="41"/>
      <c r="V20" s="41"/>
    </row>
    <row r="21" spans="1:22" ht="19.5" customHeight="1" x14ac:dyDescent="0.4">
      <c r="A21" s="85"/>
      <c r="B21" s="45">
        <v>18</v>
      </c>
      <c r="C21" s="37" t="s">
        <v>199</v>
      </c>
      <c r="D21" s="36" t="s">
        <v>7</v>
      </c>
      <c r="E21" s="36" t="s">
        <v>7</v>
      </c>
      <c r="F21" s="37" t="s">
        <v>7</v>
      </c>
      <c r="G21" s="46" t="s">
        <v>24</v>
      </c>
      <c r="H21" s="45" t="s">
        <v>9</v>
      </c>
      <c r="I21" s="45" t="s">
        <v>10</v>
      </c>
      <c r="J21" s="37" t="s">
        <v>7</v>
      </c>
      <c r="K21" s="59" t="s">
        <v>368</v>
      </c>
      <c r="L21" s="44" t="s">
        <v>179</v>
      </c>
      <c r="M21" s="39" t="s">
        <v>7</v>
      </c>
      <c r="N21" s="64"/>
      <c r="O21" s="41"/>
      <c r="P21" s="41"/>
      <c r="Q21" s="41"/>
      <c r="R21" s="41"/>
      <c r="S21" s="41"/>
      <c r="T21" s="41"/>
      <c r="U21" s="41"/>
      <c r="V21" s="41"/>
    </row>
    <row r="22" spans="1:22" ht="19.5" customHeight="1" x14ac:dyDescent="0.4">
      <c r="A22" s="85"/>
      <c r="B22" s="36">
        <v>19</v>
      </c>
      <c r="C22" s="37" t="s">
        <v>200</v>
      </c>
      <c r="D22" s="36" t="s">
        <v>7</v>
      </c>
      <c r="E22" s="36" t="s">
        <v>7</v>
      </c>
      <c r="F22" s="37" t="s">
        <v>7</v>
      </c>
      <c r="G22" s="38" t="s">
        <v>25</v>
      </c>
      <c r="H22" s="36" t="s">
        <v>9</v>
      </c>
      <c r="I22" s="36" t="s">
        <v>10</v>
      </c>
      <c r="J22" s="37" t="s">
        <v>7</v>
      </c>
      <c r="K22" s="59" t="s">
        <v>368</v>
      </c>
      <c r="L22" s="44" t="s">
        <v>179</v>
      </c>
      <c r="M22" s="39" t="s">
        <v>7</v>
      </c>
      <c r="N22" s="64"/>
      <c r="O22" s="41"/>
      <c r="P22" s="41"/>
      <c r="Q22" s="41"/>
      <c r="R22" s="41"/>
      <c r="S22" s="41"/>
      <c r="T22" s="41"/>
      <c r="U22" s="41"/>
      <c r="V22" s="41"/>
    </row>
    <row r="23" spans="1:22" ht="62.45" customHeight="1" x14ac:dyDescent="0.4">
      <c r="A23" s="85"/>
      <c r="B23" s="45">
        <v>20</v>
      </c>
      <c r="C23" s="37" t="s">
        <v>201</v>
      </c>
      <c r="D23" s="36" t="s">
        <v>7</v>
      </c>
      <c r="E23" s="36" t="s">
        <v>7</v>
      </c>
      <c r="F23" s="37" t="s">
        <v>7</v>
      </c>
      <c r="G23" s="46" t="s">
        <v>26</v>
      </c>
      <c r="H23" s="45" t="s">
        <v>9</v>
      </c>
      <c r="I23" s="45" t="s">
        <v>10</v>
      </c>
      <c r="J23" s="40" t="s">
        <v>202</v>
      </c>
      <c r="K23" s="59" t="s">
        <v>369</v>
      </c>
      <c r="L23" s="44" t="s">
        <v>179</v>
      </c>
      <c r="M23" s="39" t="s">
        <v>7</v>
      </c>
      <c r="N23" s="64"/>
      <c r="O23" s="41"/>
      <c r="P23" s="41"/>
      <c r="Q23" s="41"/>
      <c r="R23" s="41"/>
      <c r="S23" s="41"/>
      <c r="T23" s="41"/>
      <c r="U23" s="41"/>
      <c r="V23" s="41"/>
    </row>
    <row r="24" spans="1:22" ht="19.5" customHeight="1" x14ac:dyDescent="0.4">
      <c r="A24" s="85"/>
      <c r="B24" s="36">
        <v>22</v>
      </c>
      <c r="C24" s="37" t="s">
        <v>203</v>
      </c>
      <c r="D24" s="36" t="s">
        <v>7</v>
      </c>
      <c r="E24" s="36" t="s">
        <v>7</v>
      </c>
      <c r="F24" s="37" t="s">
        <v>7</v>
      </c>
      <c r="G24" s="38" t="s">
        <v>28</v>
      </c>
      <c r="H24" s="36" t="s">
        <v>9</v>
      </c>
      <c r="I24" s="36" t="s">
        <v>10</v>
      </c>
      <c r="J24" s="40" t="s">
        <v>204</v>
      </c>
      <c r="K24" s="33" t="s">
        <v>7</v>
      </c>
      <c r="L24" s="44" t="s">
        <v>179</v>
      </c>
      <c r="M24" s="33" t="s">
        <v>205</v>
      </c>
      <c r="N24" s="64"/>
      <c r="O24" s="41"/>
      <c r="P24" s="41"/>
      <c r="Q24" s="41"/>
      <c r="R24" s="41"/>
      <c r="S24" s="41"/>
      <c r="T24" s="41"/>
      <c r="U24" s="41"/>
      <c r="V24" s="41"/>
    </row>
    <row r="25" spans="1:22" ht="19.5" customHeight="1" x14ac:dyDescent="0.4">
      <c r="A25" s="85"/>
      <c r="B25" s="45">
        <v>23</v>
      </c>
      <c r="C25" s="37" t="s">
        <v>206</v>
      </c>
      <c r="D25" s="36" t="s">
        <v>7</v>
      </c>
      <c r="E25" s="36" t="s">
        <v>7</v>
      </c>
      <c r="F25" s="37" t="s">
        <v>7</v>
      </c>
      <c r="G25" s="46" t="s">
        <v>29</v>
      </c>
      <c r="H25" s="45" t="s">
        <v>9</v>
      </c>
      <c r="I25" s="45" t="s">
        <v>10</v>
      </c>
      <c r="J25" s="40" t="s">
        <v>204</v>
      </c>
      <c r="K25" s="33" t="s">
        <v>7</v>
      </c>
      <c r="L25" s="44" t="s">
        <v>179</v>
      </c>
      <c r="M25" s="33" t="s">
        <v>207</v>
      </c>
      <c r="N25" s="64"/>
      <c r="O25" s="41"/>
      <c r="P25" s="41"/>
      <c r="Q25" s="41"/>
      <c r="R25" s="41"/>
      <c r="S25" s="41"/>
      <c r="T25" s="41"/>
      <c r="U25" s="41"/>
      <c r="V25" s="41"/>
    </row>
    <row r="26" spans="1:22" ht="19.5" customHeight="1" x14ac:dyDescent="0.4">
      <c r="A26" s="85"/>
      <c r="B26" s="36">
        <v>24</v>
      </c>
      <c r="C26" s="37" t="s">
        <v>208</v>
      </c>
      <c r="D26" s="36" t="s">
        <v>7</v>
      </c>
      <c r="E26" s="36" t="s">
        <v>7</v>
      </c>
      <c r="F26" s="37" t="s">
        <v>7</v>
      </c>
      <c r="G26" s="38" t="s">
        <v>30</v>
      </c>
      <c r="H26" s="36" t="s">
        <v>9</v>
      </c>
      <c r="I26" s="36" t="s">
        <v>10</v>
      </c>
      <c r="J26" s="40" t="s">
        <v>13</v>
      </c>
      <c r="K26" s="33" t="s">
        <v>7</v>
      </c>
      <c r="L26" s="44" t="s">
        <v>179</v>
      </c>
      <c r="M26" s="39" t="s">
        <v>7</v>
      </c>
      <c r="N26" s="64"/>
      <c r="O26" s="41"/>
      <c r="P26" s="41"/>
      <c r="Q26" s="41"/>
      <c r="R26" s="41"/>
      <c r="S26" s="41"/>
      <c r="T26" s="41"/>
      <c r="U26" s="41"/>
      <c r="V26" s="41"/>
    </row>
    <row r="27" spans="1:22" ht="19.5" customHeight="1" x14ac:dyDescent="0.4">
      <c r="A27" s="85"/>
      <c r="B27" s="45">
        <v>25</v>
      </c>
      <c r="C27" s="37" t="s">
        <v>209</v>
      </c>
      <c r="D27" s="36" t="s">
        <v>7</v>
      </c>
      <c r="E27" s="36" t="s">
        <v>7</v>
      </c>
      <c r="F27" s="37" t="s">
        <v>7</v>
      </c>
      <c r="G27" s="46" t="s">
        <v>31</v>
      </c>
      <c r="H27" s="45" t="s">
        <v>9</v>
      </c>
      <c r="I27" s="45" t="s">
        <v>10</v>
      </c>
      <c r="J27" s="40" t="s">
        <v>13</v>
      </c>
      <c r="K27" s="33" t="s">
        <v>7</v>
      </c>
      <c r="L27" s="44" t="s">
        <v>179</v>
      </c>
      <c r="M27" s="39" t="s">
        <v>7</v>
      </c>
      <c r="N27" s="64"/>
      <c r="O27" s="41"/>
      <c r="P27" s="41"/>
      <c r="Q27" s="41"/>
      <c r="R27" s="41"/>
      <c r="S27" s="41"/>
      <c r="T27" s="41"/>
      <c r="U27" s="41"/>
      <c r="V27" s="41"/>
    </row>
    <row r="28" spans="1:22" ht="19.5" customHeight="1" x14ac:dyDescent="0.4">
      <c r="A28" s="85"/>
      <c r="B28" s="36">
        <v>26</v>
      </c>
      <c r="C28" s="37" t="s">
        <v>210</v>
      </c>
      <c r="D28" s="36" t="s">
        <v>7</v>
      </c>
      <c r="E28" s="36" t="s">
        <v>7</v>
      </c>
      <c r="F28" s="37" t="s">
        <v>7</v>
      </c>
      <c r="G28" s="38" t="s">
        <v>32</v>
      </c>
      <c r="H28" s="36" t="s">
        <v>9</v>
      </c>
      <c r="I28" s="36" t="s">
        <v>10</v>
      </c>
      <c r="J28" s="40" t="s">
        <v>189</v>
      </c>
      <c r="K28" s="33" t="s">
        <v>7</v>
      </c>
      <c r="L28" s="44" t="s">
        <v>179</v>
      </c>
      <c r="M28" s="39" t="s">
        <v>7</v>
      </c>
      <c r="N28" s="64"/>
      <c r="O28" s="41"/>
      <c r="P28" s="41"/>
      <c r="Q28" s="41"/>
      <c r="R28" s="41"/>
      <c r="S28" s="41"/>
      <c r="T28" s="41"/>
      <c r="U28" s="41"/>
      <c r="V28" s="41"/>
    </row>
    <row r="29" spans="1:22" ht="19.5" customHeight="1" x14ac:dyDescent="0.4">
      <c r="A29" s="85"/>
      <c r="B29" s="45">
        <v>27</v>
      </c>
      <c r="C29" s="37" t="s">
        <v>211</v>
      </c>
      <c r="D29" s="36" t="s">
        <v>7</v>
      </c>
      <c r="E29" s="36" t="s">
        <v>7</v>
      </c>
      <c r="F29" s="37" t="s">
        <v>7</v>
      </c>
      <c r="G29" s="46" t="s">
        <v>33</v>
      </c>
      <c r="H29" s="45" t="s">
        <v>9</v>
      </c>
      <c r="I29" s="45" t="s">
        <v>10</v>
      </c>
      <c r="J29" s="40" t="s">
        <v>189</v>
      </c>
      <c r="K29" s="33" t="s">
        <v>7</v>
      </c>
      <c r="L29" s="44" t="s">
        <v>179</v>
      </c>
      <c r="M29" s="39" t="s">
        <v>7</v>
      </c>
      <c r="N29" s="64"/>
      <c r="O29" s="41"/>
      <c r="P29" s="41"/>
      <c r="Q29" s="41"/>
      <c r="R29" s="41"/>
      <c r="S29" s="41"/>
      <c r="T29" s="41"/>
      <c r="U29" s="41"/>
      <c r="V29" s="41"/>
    </row>
    <row r="30" spans="1:22" ht="53.45" customHeight="1" x14ac:dyDescent="0.4">
      <c r="A30" s="85"/>
      <c r="B30" s="45">
        <v>49</v>
      </c>
      <c r="C30" s="37" t="s">
        <v>212</v>
      </c>
      <c r="D30" s="36" t="s">
        <v>7</v>
      </c>
      <c r="E30" s="36" t="s">
        <v>7</v>
      </c>
      <c r="F30" s="37" t="s">
        <v>7</v>
      </c>
      <c r="G30" s="46" t="s">
        <v>213</v>
      </c>
      <c r="H30" s="45" t="s">
        <v>9</v>
      </c>
      <c r="I30" s="45" t="s">
        <v>10</v>
      </c>
      <c r="J30" s="40" t="s">
        <v>214</v>
      </c>
      <c r="K30" s="59" t="s">
        <v>370</v>
      </c>
      <c r="L30" s="44" t="s">
        <v>179</v>
      </c>
      <c r="M30" s="39" t="s">
        <v>7</v>
      </c>
      <c r="N30" s="64"/>
      <c r="O30" s="41"/>
      <c r="P30" s="41"/>
      <c r="Q30" s="41"/>
      <c r="R30" s="41"/>
      <c r="S30" s="41"/>
      <c r="T30" s="41"/>
      <c r="U30" s="41"/>
      <c r="V30" s="41"/>
    </row>
    <row r="31" spans="1:22" ht="52.25" customHeight="1" x14ac:dyDescent="0.4">
      <c r="A31" s="85"/>
      <c r="B31" s="36">
        <v>50</v>
      </c>
      <c r="C31" s="37" t="s">
        <v>215</v>
      </c>
      <c r="D31" s="36" t="s">
        <v>7</v>
      </c>
      <c r="E31" s="36" t="s">
        <v>7</v>
      </c>
      <c r="F31" s="37" t="s">
        <v>7</v>
      </c>
      <c r="G31" s="38" t="s">
        <v>216</v>
      </c>
      <c r="H31" s="36" t="s">
        <v>9</v>
      </c>
      <c r="I31" s="36" t="s">
        <v>10</v>
      </c>
      <c r="J31" s="40" t="s">
        <v>214</v>
      </c>
      <c r="K31" s="59" t="s">
        <v>371</v>
      </c>
      <c r="L31" s="44" t="s">
        <v>179</v>
      </c>
      <c r="M31" s="39" t="s">
        <v>7</v>
      </c>
      <c r="N31" s="64"/>
      <c r="O31" s="41"/>
      <c r="P31" s="41"/>
      <c r="Q31" s="41"/>
      <c r="R31" s="41"/>
      <c r="S31" s="41"/>
      <c r="T31" s="41"/>
      <c r="U31" s="41"/>
      <c r="V31" s="41"/>
    </row>
    <row r="32" spans="1:22" ht="19.5" customHeight="1" x14ac:dyDescent="0.4">
      <c r="A32" s="85"/>
      <c r="B32" s="45">
        <v>51</v>
      </c>
      <c r="C32" s="37" t="s">
        <v>217</v>
      </c>
      <c r="D32" s="36" t="s">
        <v>7</v>
      </c>
      <c r="E32" s="36" t="s">
        <v>7</v>
      </c>
      <c r="F32" s="37" t="s">
        <v>7</v>
      </c>
      <c r="G32" s="46" t="s">
        <v>34</v>
      </c>
      <c r="H32" s="45" t="s">
        <v>9</v>
      </c>
      <c r="I32" s="45" t="s">
        <v>10</v>
      </c>
      <c r="J32" s="40" t="s">
        <v>7</v>
      </c>
      <c r="K32" s="59" t="s">
        <v>368</v>
      </c>
      <c r="L32" s="44" t="s">
        <v>179</v>
      </c>
      <c r="M32" s="39" t="s">
        <v>218</v>
      </c>
      <c r="N32" s="64"/>
      <c r="O32" s="41"/>
      <c r="P32" s="41"/>
      <c r="Q32" s="41"/>
      <c r="R32" s="41"/>
      <c r="S32" s="41"/>
      <c r="T32" s="41"/>
      <c r="U32" s="41"/>
      <c r="V32" s="41"/>
    </row>
    <row r="33" spans="1:22" ht="19.5" customHeight="1" x14ac:dyDescent="0.4">
      <c r="A33" s="85"/>
      <c r="B33" s="36">
        <v>52</v>
      </c>
      <c r="C33" s="37" t="s">
        <v>219</v>
      </c>
      <c r="D33" s="36" t="s">
        <v>7</v>
      </c>
      <c r="E33" s="36" t="s">
        <v>7</v>
      </c>
      <c r="F33" s="37" t="s">
        <v>7</v>
      </c>
      <c r="G33" s="38" t="s">
        <v>35</v>
      </c>
      <c r="H33" s="36" t="s">
        <v>9</v>
      </c>
      <c r="I33" s="36" t="s">
        <v>10</v>
      </c>
      <c r="J33" s="40" t="s">
        <v>7</v>
      </c>
      <c r="K33" s="59" t="s">
        <v>368</v>
      </c>
      <c r="L33" s="44" t="s">
        <v>179</v>
      </c>
      <c r="M33" s="39" t="s">
        <v>218</v>
      </c>
      <c r="N33" s="64"/>
      <c r="O33" s="41"/>
      <c r="P33" s="41"/>
      <c r="Q33" s="41"/>
      <c r="R33" s="41"/>
      <c r="S33" s="41"/>
      <c r="T33" s="41"/>
      <c r="U33" s="41"/>
      <c r="V33" s="41"/>
    </row>
    <row r="34" spans="1:22" ht="19.5" customHeight="1" x14ac:dyDescent="0.4">
      <c r="A34" s="85"/>
      <c r="B34" s="45">
        <v>53</v>
      </c>
      <c r="C34" s="37" t="s">
        <v>220</v>
      </c>
      <c r="D34" s="36" t="s">
        <v>7</v>
      </c>
      <c r="E34" s="36" t="s">
        <v>7</v>
      </c>
      <c r="F34" s="37" t="s">
        <v>7</v>
      </c>
      <c r="G34" s="46" t="s">
        <v>36</v>
      </c>
      <c r="H34" s="45" t="s">
        <v>9</v>
      </c>
      <c r="I34" s="45" t="s">
        <v>10</v>
      </c>
      <c r="J34" s="40" t="s">
        <v>183</v>
      </c>
      <c r="K34" s="59" t="s">
        <v>372</v>
      </c>
      <c r="L34" s="44" t="s">
        <v>179</v>
      </c>
      <c r="M34" s="39" t="s">
        <v>221</v>
      </c>
      <c r="N34" s="64"/>
      <c r="O34" s="41"/>
      <c r="P34" s="41"/>
      <c r="Q34" s="41"/>
      <c r="R34" s="41"/>
      <c r="S34" s="41"/>
      <c r="T34" s="41"/>
      <c r="U34" s="41"/>
      <c r="V34" s="41"/>
    </row>
    <row r="35" spans="1:22" ht="19.5" customHeight="1" x14ac:dyDescent="0.4">
      <c r="A35" s="85"/>
      <c r="B35" s="36">
        <v>54</v>
      </c>
      <c r="C35" s="37" t="s">
        <v>222</v>
      </c>
      <c r="D35" s="36" t="s">
        <v>7</v>
      </c>
      <c r="E35" s="36" t="s">
        <v>7</v>
      </c>
      <c r="F35" s="37" t="s">
        <v>7</v>
      </c>
      <c r="G35" s="38" t="s">
        <v>37</v>
      </c>
      <c r="H35" s="36" t="s">
        <v>9</v>
      </c>
      <c r="I35" s="36" t="s">
        <v>10</v>
      </c>
      <c r="J35" s="40" t="s">
        <v>183</v>
      </c>
      <c r="K35" s="59" t="s">
        <v>372</v>
      </c>
      <c r="L35" s="44" t="s">
        <v>179</v>
      </c>
      <c r="M35" s="39" t="s">
        <v>221</v>
      </c>
      <c r="N35" s="64"/>
      <c r="O35" s="41"/>
      <c r="P35" s="41"/>
      <c r="Q35" s="41"/>
      <c r="R35" s="41"/>
      <c r="S35" s="41"/>
      <c r="T35" s="41"/>
      <c r="U35" s="41"/>
      <c r="V35" s="41"/>
    </row>
    <row r="36" spans="1:22" ht="19.5" customHeight="1" x14ac:dyDescent="0.4">
      <c r="A36" s="85"/>
      <c r="B36" s="45">
        <v>55</v>
      </c>
      <c r="C36" s="37" t="s">
        <v>223</v>
      </c>
      <c r="D36" s="36" t="s">
        <v>7</v>
      </c>
      <c r="E36" s="36" t="s">
        <v>7</v>
      </c>
      <c r="F36" s="37" t="s">
        <v>7</v>
      </c>
      <c r="G36" s="46" t="s">
        <v>38</v>
      </c>
      <c r="H36" s="45" t="s">
        <v>9</v>
      </c>
      <c r="I36" s="45" t="s">
        <v>10</v>
      </c>
      <c r="J36" s="40" t="s">
        <v>183</v>
      </c>
      <c r="K36" s="59" t="s">
        <v>368</v>
      </c>
      <c r="L36" s="44" t="s">
        <v>179</v>
      </c>
      <c r="M36" s="39" t="s">
        <v>224</v>
      </c>
      <c r="N36" s="64"/>
      <c r="O36" s="41"/>
      <c r="P36" s="41"/>
      <c r="Q36" s="41"/>
      <c r="R36" s="41"/>
      <c r="S36" s="41"/>
      <c r="T36" s="41"/>
      <c r="U36" s="41"/>
      <c r="V36" s="41"/>
    </row>
    <row r="37" spans="1:22" ht="53.45" customHeight="1" x14ac:dyDescent="0.4">
      <c r="A37" s="85"/>
      <c r="B37" s="48">
        <v>57</v>
      </c>
      <c r="C37" s="49" t="s">
        <v>225</v>
      </c>
      <c r="D37" s="36" t="s">
        <v>7</v>
      </c>
      <c r="E37" s="36" t="s">
        <v>7</v>
      </c>
      <c r="F37" s="37" t="s">
        <v>7</v>
      </c>
      <c r="G37" s="50" t="s">
        <v>39</v>
      </c>
      <c r="H37" s="48" t="s">
        <v>9</v>
      </c>
      <c r="I37" s="48" t="s">
        <v>10</v>
      </c>
      <c r="J37" s="49" t="s">
        <v>189</v>
      </c>
      <c r="K37" s="59" t="s">
        <v>373</v>
      </c>
      <c r="L37" s="44" t="s">
        <v>179</v>
      </c>
      <c r="M37" s="39" t="s">
        <v>7</v>
      </c>
      <c r="N37" s="64"/>
      <c r="O37" s="41"/>
      <c r="P37" s="41"/>
      <c r="Q37" s="41"/>
      <c r="R37" s="41"/>
      <c r="S37" s="41"/>
      <c r="T37" s="41"/>
      <c r="U37" s="41"/>
      <c r="V37" s="41"/>
    </row>
    <row r="38" spans="1:22" s="24" customFormat="1" ht="19.5" customHeight="1" x14ac:dyDescent="0.4">
      <c r="A38" s="85"/>
      <c r="B38" s="36">
        <v>59</v>
      </c>
      <c r="C38" s="37" t="s">
        <v>226</v>
      </c>
      <c r="D38" s="36" t="s">
        <v>7</v>
      </c>
      <c r="E38" s="36" t="s">
        <v>7</v>
      </c>
      <c r="F38" s="37" t="s">
        <v>7</v>
      </c>
      <c r="G38" s="38" t="s">
        <v>40</v>
      </c>
      <c r="H38" s="45" t="s">
        <v>9</v>
      </c>
      <c r="I38" s="45" t="s">
        <v>10</v>
      </c>
      <c r="J38" s="40" t="s">
        <v>227</v>
      </c>
      <c r="K38" s="59" t="s">
        <v>368</v>
      </c>
      <c r="L38" s="44" t="s">
        <v>179</v>
      </c>
      <c r="M38" s="39" t="s">
        <v>228</v>
      </c>
      <c r="N38" s="64"/>
      <c r="O38" s="41"/>
      <c r="P38" s="41"/>
      <c r="Q38" s="41"/>
      <c r="R38" s="41"/>
      <c r="S38" s="41"/>
      <c r="T38" s="41"/>
      <c r="U38" s="41"/>
      <c r="V38" s="41"/>
    </row>
    <row r="39" spans="1:22" s="24" customFormat="1" ht="19.5" customHeight="1" x14ac:dyDescent="0.4">
      <c r="A39" s="85"/>
      <c r="B39" s="36">
        <v>60</v>
      </c>
      <c r="C39" s="37" t="s">
        <v>229</v>
      </c>
      <c r="D39" s="36" t="s">
        <v>7</v>
      </c>
      <c r="E39" s="36" t="s">
        <v>7</v>
      </c>
      <c r="F39" s="37" t="s">
        <v>7</v>
      </c>
      <c r="G39" s="38" t="s">
        <v>41</v>
      </c>
      <c r="H39" s="36" t="s">
        <v>9</v>
      </c>
      <c r="I39" s="36" t="s">
        <v>10</v>
      </c>
      <c r="J39" s="40" t="s">
        <v>230</v>
      </c>
      <c r="K39" s="59" t="s">
        <v>368</v>
      </c>
      <c r="L39" s="44" t="s">
        <v>179</v>
      </c>
      <c r="M39" s="39" t="s">
        <v>228</v>
      </c>
      <c r="N39" s="64"/>
      <c r="O39" s="41"/>
      <c r="P39" s="41"/>
      <c r="Q39" s="41"/>
      <c r="R39" s="41"/>
      <c r="S39" s="41"/>
      <c r="T39" s="41"/>
      <c r="U39" s="41"/>
      <c r="V39" s="41"/>
    </row>
    <row r="40" spans="1:22" s="23" customFormat="1" ht="109.25" customHeight="1" x14ac:dyDescent="0.4">
      <c r="A40" s="85"/>
      <c r="B40" s="45">
        <v>65</v>
      </c>
      <c r="C40" s="37" t="s">
        <v>231</v>
      </c>
      <c r="D40" s="36" t="s">
        <v>7</v>
      </c>
      <c r="E40" s="36" t="s">
        <v>7</v>
      </c>
      <c r="F40" s="37" t="s">
        <v>7</v>
      </c>
      <c r="G40" s="46" t="s">
        <v>42</v>
      </c>
      <c r="H40" s="45" t="s">
        <v>43</v>
      </c>
      <c r="I40" s="36" t="s">
        <v>76</v>
      </c>
      <c r="J40" s="40" t="s">
        <v>44</v>
      </c>
      <c r="K40" s="59" t="s">
        <v>374</v>
      </c>
      <c r="L40" s="44" t="s">
        <v>179</v>
      </c>
      <c r="M40" s="39" t="s">
        <v>7</v>
      </c>
      <c r="N40" s="64"/>
      <c r="O40" s="41"/>
      <c r="P40" s="41"/>
      <c r="Q40" s="41"/>
      <c r="R40" s="41"/>
      <c r="S40" s="41"/>
      <c r="T40" s="41"/>
      <c r="U40" s="41"/>
      <c r="V40" s="41"/>
    </row>
    <row r="41" spans="1:22" ht="53.45" customHeight="1" x14ac:dyDescent="0.4">
      <c r="A41" s="85"/>
      <c r="B41" s="45">
        <v>72</v>
      </c>
      <c r="C41" s="37" t="s">
        <v>232</v>
      </c>
      <c r="D41" s="36" t="s">
        <v>7</v>
      </c>
      <c r="E41" s="36" t="s">
        <v>7</v>
      </c>
      <c r="F41" s="37" t="s">
        <v>7</v>
      </c>
      <c r="G41" s="38" t="s">
        <v>233</v>
      </c>
      <c r="H41" s="36" t="s">
        <v>7</v>
      </c>
      <c r="I41" s="36" t="s">
        <v>7</v>
      </c>
      <c r="J41" s="36" t="s">
        <v>7</v>
      </c>
      <c r="K41" s="59" t="s">
        <v>375</v>
      </c>
      <c r="L41" s="44" t="s">
        <v>179</v>
      </c>
      <c r="M41" s="39" t="s">
        <v>7</v>
      </c>
      <c r="N41" s="64"/>
      <c r="O41" s="41"/>
      <c r="P41" s="41"/>
      <c r="Q41" s="41"/>
      <c r="R41" s="41"/>
      <c r="S41" s="41"/>
      <c r="T41" s="41"/>
      <c r="U41" s="41"/>
      <c r="V41" s="41"/>
    </row>
    <row r="42" spans="1:22" ht="70.8" customHeight="1" x14ac:dyDescent="0.4">
      <c r="A42" s="85"/>
      <c r="B42" s="45">
        <v>73</v>
      </c>
      <c r="C42" s="37" t="s">
        <v>234</v>
      </c>
      <c r="D42" s="36" t="s">
        <v>7</v>
      </c>
      <c r="E42" s="36" t="s">
        <v>7</v>
      </c>
      <c r="F42" s="37" t="s">
        <v>7</v>
      </c>
      <c r="G42" s="38" t="s">
        <v>235</v>
      </c>
      <c r="H42" s="36" t="s">
        <v>7</v>
      </c>
      <c r="I42" s="36" t="s">
        <v>7</v>
      </c>
      <c r="J42" s="36" t="s">
        <v>7</v>
      </c>
      <c r="K42" s="59" t="s">
        <v>376</v>
      </c>
      <c r="L42" s="44" t="s">
        <v>179</v>
      </c>
      <c r="M42" s="39" t="s">
        <v>7</v>
      </c>
      <c r="N42" s="64"/>
      <c r="O42" s="41"/>
      <c r="P42" s="41"/>
      <c r="Q42" s="41"/>
      <c r="R42" s="41"/>
      <c r="S42" s="41"/>
      <c r="T42" s="41"/>
      <c r="U42" s="41"/>
      <c r="V42" s="41"/>
    </row>
    <row r="43" spans="1:22" ht="19.5" customHeight="1" x14ac:dyDescent="0.4">
      <c r="A43" s="85"/>
      <c r="B43" s="36">
        <v>84</v>
      </c>
      <c r="C43" s="37" t="s">
        <v>236</v>
      </c>
      <c r="D43" s="36" t="s">
        <v>7</v>
      </c>
      <c r="E43" s="36" t="s">
        <v>7</v>
      </c>
      <c r="F43" s="37" t="s">
        <v>7</v>
      </c>
      <c r="G43" s="38" t="s">
        <v>237</v>
      </c>
      <c r="H43" s="36" t="s">
        <v>9</v>
      </c>
      <c r="I43" s="36" t="s">
        <v>10</v>
      </c>
      <c r="J43" s="40" t="s">
        <v>189</v>
      </c>
      <c r="K43" s="59" t="s">
        <v>368</v>
      </c>
      <c r="L43" s="44" t="s">
        <v>179</v>
      </c>
      <c r="M43" s="39" t="s">
        <v>238</v>
      </c>
      <c r="N43" s="64"/>
      <c r="O43" s="41"/>
      <c r="P43" s="41"/>
      <c r="Q43" s="41"/>
      <c r="R43" s="41"/>
      <c r="S43" s="41"/>
      <c r="T43" s="41"/>
      <c r="U43" s="41"/>
      <c r="V43" s="41"/>
    </row>
    <row r="44" spans="1:22" ht="19.5" customHeight="1" x14ac:dyDescent="0.4">
      <c r="A44" s="85"/>
      <c r="B44" s="45">
        <v>100</v>
      </c>
      <c r="C44" s="37" t="s">
        <v>240</v>
      </c>
      <c r="D44" s="36" t="s">
        <v>7</v>
      </c>
      <c r="E44" s="36" t="s">
        <v>7</v>
      </c>
      <c r="F44" s="37" t="s">
        <v>7</v>
      </c>
      <c r="G44" s="46" t="s">
        <v>47</v>
      </c>
      <c r="H44" s="45" t="s">
        <v>9</v>
      </c>
      <c r="I44" s="45" t="s">
        <v>10</v>
      </c>
      <c r="J44" s="36" t="s">
        <v>7</v>
      </c>
      <c r="K44" s="59" t="s">
        <v>368</v>
      </c>
      <c r="L44" s="44" t="s">
        <v>179</v>
      </c>
      <c r="M44" s="39" t="s">
        <v>241</v>
      </c>
      <c r="N44" s="64"/>
      <c r="O44" s="41"/>
      <c r="P44" s="41"/>
      <c r="Q44" s="41"/>
      <c r="R44" s="41"/>
      <c r="S44" s="41"/>
      <c r="T44" s="41"/>
      <c r="U44" s="41"/>
      <c r="V44" s="41"/>
    </row>
    <row r="45" spans="1:22" ht="19.5" customHeight="1" x14ac:dyDescent="0.4">
      <c r="A45" s="85"/>
      <c r="B45" s="36">
        <v>101</v>
      </c>
      <c r="C45" s="37" t="s">
        <v>242</v>
      </c>
      <c r="D45" s="36" t="s">
        <v>7</v>
      </c>
      <c r="E45" s="36" t="s">
        <v>7</v>
      </c>
      <c r="F45" s="37" t="s">
        <v>7</v>
      </c>
      <c r="G45" s="38" t="s">
        <v>48</v>
      </c>
      <c r="H45" s="36" t="s">
        <v>9</v>
      </c>
      <c r="I45" s="36" t="s">
        <v>10</v>
      </c>
      <c r="J45" s="36" t="s">
        <v>7</v>
      </c>
      <c r="K45" s="59" t="s">
        <v>368</v>
      </c>
      <c r="L45" s="44" t="s">
        <v>179</v>
      </c>
      <c r="M45" s="39" t="s">
        <v>7</v>
      </c>
      <c r="N45" s="64"/>
      <c r="O45" s="41"/>
      <c r="P45" s="41"/>
      <c r="Q45" s="41"/>
      <c r="R45" s="41"/>
      <c r="S45" s="41"/>
      <c r="T45" s="41"/>
      <c r="U45" s="41"/>
      <c r="V45" s="41"/>
    </row>
    <row r="46" spans="1:22" s="25" customFormat="1" ht="19.5" customHeight="1" x14ac:dyDescent="0.4">
      <c r="A46" s="85"/>
      <c r="B46" s="45">
        <v>102</v>
      </c>
      <c r="C46" s="37" t="s">
        <v>243</v>
      </c>
      <c r="D46" s="36" t="s">
        <v>7</v>
      </c>
      <c r="E46" s="36" t="s">
        <v>7</v>
      </c>
      <c r="F46" s="37" t="s">
        <v>7</v>
      </c>
      <c r="G46" s="46" t="s">
        <v>49</v>
      </c>
      <c r="H46" s="45" t="s">
        <v>9</v>
      </c>
      <c r="I46" s="45" t="s">
        <v>10</v>
      </c>
      <c r="J46" s="36" t="s">
        <v>7</v>
      </c>
      <c r="K46" s="59" t="s">
        <v>368</v>
      </c>
      <c r="L46" s="44" t="s">
        <v>179</v>
      </c>
      <c r="M46" s="39" t="s">
        <v>7</v>
      </c>
      <c r="N46" s="64"/>
      <c r="O46" s="41"/>
      <c r="P46" s="41"/>
      <c r="Q46" s="41"/>
      <c r="R46" s="41"/>
      <c r="S46" s="41"/>
      <c r="T46" s="41"/>
      <c r="U46" s="41"/>
      <c r="V46" s="41"/>
    </row>
    <row r="47" spans="1:22" s="25" customFormat="1" ht="19.5" customHeight="1" x14ac:dyDescent="0.4">
      <c r="A47" s="85"/>
      <c r="B47" s="48">
        <v>111</v>
      </c>
      <c r="C47" s="49" t="s">
        <v>244</v>
      </c>
      <c r="D47" s="36" t="s">
        <v>7</v>
      </c>
      <c r="E47" s="36" t="s">
        <v>7</v>
      </c>
      <c r="F47" s="37" t="s">
        <v>7</v>
      </c>
      <c r="G47" s="50" t="s">
        <v>39</v>
      </c>
      <c r="H47" s="48" t="s">
        <v>9</v>
      </c>
      <c r="I47" s="48" t="s">
        <v>10</v>
      </c>
      <c r="J47" s="36" t="s">
        <v>7</v>
      </c>
      <c r="K47" s="59" t="s">
        <v>368</v>
      </c>
      <c r="L47" s="44" t="s">
        <v>179</v>
      </c>
      <c r="M47" s="39" t="s">
        <v>7</v>
      </c>
      <c r="N47" s="64"/>
      <c r="O47" s="41"/>
      <c r="P47" s="41"/>
      <c r="Q47" s="41"/>
      <c r="R47" s="41"/>
      <c r="S47" s="41"/>
      <c r="T47" s="41"/>
      <c r="U47" s="41"/>
      <c r="V47" s="41"/>
    </row>
    <row r="48" spans="1:22" s="25" customFormat="1" ht="58.25" customHeight="1" x14ac:dyDescent="0.4">
      <c r="A48" s="85"/>
      <c r="B48" s="36">
        <v>112</v>
      </c>
      <c r="C48" s="37" t="s">
        <v>245</v>
      </c>
      <c r="D48" s="36" t="s">
        <v>7</v>
      </c>
      <c r="E48" s="36" t="s">
        <v>7</v>
      </c>
      <c r="F48" s="37" t="s">
        <v>7</v>
      </c>
      <c r="G48" s="110" t="s">
        <v>400</v>
      </c>
      <c r="H48" s="36" t="s">
        <v>9</v>
      </c>
      <c r="I48" s="45" t="s">
        <v>10</v>
      </c>
      <c r="J48" s="36" t="s">
        <v>7</v>
      </c>
      <c r="K48" s="59" t="s">
        <v>377</v>
      </c>
      <c r="L48" s="44" t="s">
        <v>179</v>
      </c>
      <c r="M48" s="39" t="s">
        <v>246</v>
      </c>
      <c r="N48" s="64"/>
      <c r="O48" s="41"/>
      <c r="P48" s="41"/>
      <c r="Q48" s="41"/>
      <c r="R48" s="41"/>
      <c r="S48" s="41"/>
      <c r="T48" s="41"/>
      <c r="U48" s="41"/>
      <c r="V48" s="41"/>
    </row>
    <row r="49" spans="1:22" s="25" customFormat="1" ht="37.25" customHeight="1" x14ac:dyDescent="0.4">
      <c r="A49" s="85"/>
      <c r="B49" s="36">
        <v>113</v>
      </c>
      <c r="C49" s="37" t="s">
        <v>247</v>
      </c>
      <c r="D49" s="36" t="s">
        <v>7</v>
      </c>
      <c r="E49" s="36" t="s">
        <v>7</v>
      </c>
      <c r="F49" s="37" t="s">
        <v>7</v>
      </c>
      <c r="G49" s="46" t="s">
        <v>50</v>
      </c>
      <c r="H49" s="36" t="s">
        <v>9</v>
      </c>
      <c r="I49" s="45" t="s">
        <v>10</v>
      </c>
      <c r="J49" s="36" t="s">
        <v>7</v>
      </c>
      <c r="K49" s="59" t="s">
        <v>378</v>
      </c>
      <c r="L49" s="44" t="s">
        <v>179</v>
      </c>
      <c r="M49" s="39" t="s">
        <v>248</v>
      </c>
      <c r="N49" s="64"/>
      <c r="O49" s="41"/>
      <c r="P49" s="41"/>
      <c r="Q49" s="41"/>
      <c r="R49" s="41"/>
      <c r="S49" s="41"/>
      <c r="T49" s="41"/>
      <c r="U49" s="41"/>
      <c r="V49" s="41"/>
    </row>
    <row r="50" spans="1:22" s="25" customFormat="1" ht="19.5" customHeight="1" x14ac:dyDescent="0.4">
      <c r="A50" s="85"/>
      <c r="B50" s="45">
        <v>120</v>
      </c>
      <c r="C50" s="37" t="s">
        <v>249</v>
      </c>
      <c r="D50" s="36" t="s">
        <v>7</v>
      </c>
      <c r="E50" s="36" t="s">
        <v>7</v>
      </c>
      <c r="F50" s="37" t="s">
        <v>7</v>
      </c>
      <c r="G50" s="46" t="s">
        <v>51</v>
      </c>
      <c r="H50" s="45" t="s">
        <v>9</v>
      </c>
      <c r="I50" s="45" t="s">
        <v>10</v>
      </c>
      <c r="J50" s="40" t="s">
        <v>250</v>
      </c>
      <c r="K50" s="59" t="s">
        <v>368</v>
      </c>
      <c r="L50" s="44" t="s">
        <v>179</v>
      </c>
      <c r="M50" s="39" t="s">
        <v>7</v>
      </c>
      <c r="N50" s="64"/>
      <c r="O50" s="41"/>
      <c r="P50" s="41"/>
      <c r="Q50" s="41"/>
      <c r="R50" s="41"/>
      <c r="S50" s="41"/>
      <c r="T50" s="41"/>
      <c r="U50" s="41"/>
      <c r="V50" s="41"/>
    </row>
    <row r="51" spans="1:22" s="25" customFormat="1" ht="19.5" customHeight="1" x14ac:dyDescent="0.4">
      <c r="A51" s="85"/>
      <c r="B51" s="48">
        <v>121</v>
      </c>
      <c r="C51" s="49" t="s">
        <v>251</v>
      </c>
      <c r="D51" s="36" t="s">
        <v>7</v>
      </c>
      <c r="E51" s="36" t="s">
        <v>7</v>
      </c>
      <c r="F51" s="37" t="s">
        <v>7</v>
      </c>
      <c r="G51" s="50" t="s">
        <v>252</v>
      </c>
      <c r="H51" s="48" t="s">
        <v>9</v>
      </c>
      <c r="I51" s="48" t="s">
        <v>10</v>
      </c>
      <c r="J51" s="36" t="s">
        <v>7</v>
      </c>
      <c r="K51" s="59" t="s">
        <v>368</v>
      </c>
      <c r="L51" s="44" t="s">
        <v>179</v>
      </c>
      <c r="M51" s="39" t="s">
        <v>253</v>
      </c>
      <c r="N51" s="64"/>
      <c r="O51" s="41"/>
      <c r="P51" s="41"/>
      <c r="Q51" s="41"/>
      <c r="R51" s="41"/>
      <c r="S51" s="41"/>
      <c r="T51" s="41"/>
      <c r="U51" s="41"/>
      <c r="V51" s="41"/>
    </row>
    <row r="52" spans="1:22" s="25" customFormat="1" ht="19.5" customHeight="1" x14ac:dyDescent="0.4">
      <c r="A52" s="85"/>
      <c r="B52" s="45">
        <v>133</v>
      </c>
      <c r="C52" s="37" t="s">
        <v>45</v>
      </c>
      <c r="D52" s="36" t="s">
        <v>7</v>
      </c>
      <c r="E52" s="36" t="s">
        <v>7</v>
      </c>
      <c r="F52" s="37" t="s">
        <v>7</v>
      </c>
      <c r="G52" s="46" t="s">
        <v>52</v>
      </c>
      <c r="H52" s="45" t="s">
        <v>9</v>
      </c>
      <c r="I52" s="45" t="s">
        <v>10</v>
      </c>
      <c r="J52" s="36" t="s">
        <v>7</v>
      </c>
      <c r="K52" s="59" t="s">
        <v>368</v>
      </c>
      <c r="L52" s="44" t="s">
        <v>179</v>
      </c>
      <c r="M52" s="39" t="s">
        <v>7</v>
      </c>
      <c r="N52" s="64"/>
      <c r="O52" s="41"/>
      <c r="P52" s="41"/>
      <c r="Q52" s="41"/>
      <c r="R52" s="41"/>
      <c r="S52" s="41"/>
      <c r="T52" s="41"/>
      <c r="U52" s="41"/>
      <c r="V52" s="41"/>
    </row>
    <row r="53" spans="1:22" s="25" customFormat="1" ht="19.5" customHeight="1" x14ac:dyDescent="0.4">
      <c r="A53" s="85"/>
      <c r="B53" s="36">
        <v>134</v>
      </c>
      <c r="C53" s="37" t="s">
        <v>46</v>
      </c>
      <c r="D53" s="36" t="s">
        <v>7</v>
      </c>
      <c r="E53" s="36" t="s">
        <v>7</v>
      </c>
      <c r="F53" s="37" t="s">
        <v>7</v>
      </c>
      <c r="G53" s="38" t="s">
        <v>53</v>
      </c>
      <c r="H53" s="36" t="s">
        <v>9</v>
      </c>
      <c r="I53" s="36" t="s">
        <v>10</v>
      </c>
      <c r="J53" s="36" t="s">
        <v>7</v>
      </c>
      <c r="K53" s="59" t="s">
        <v>368</v>
      </c>
      <c r="L53" s="44" t="s">
        <v>179</v>
      </c>
      <c r="M53" s="39" t="s">
        <v>7</v>
      </c>
      <c r="N53" s="64"/>
      <c r="O53" s="41"/>
      <c r="P53" s="41"/>
      <c r="Q53" s="41"/>
      <c r="R53" s="41"/>
      <c r="S53" s="41"/>
      <c r="T53" s="41"/>
      <c r="U53" s="41"/>
      <c r="V53" s="41"/>
    </row>
    <row r="54" spans="1:22" ht="19.5" customHeight="1" x14ac:dyDescent="0.4">
      <c r="A54" s="85"/>
      <c r="B54" s="45">
        <v>138</v>
      </c>
      <c r="C54" s="37" t="s">
        <v>254</v>
      </c>
      <c r="D54" s="36" t="s">
        <v>7</v>
      </c>
      <c r="E54" s="36" t="s">
        <v>7</v>
      </c>
      <c r="F54" s="37" t="s">
        <v>7</v>
      </c>
      <c r="G54" s="46" t="s">
        <v>54</v>
      </c>
      <c r="H54" s="45" t="s">
        <v>9</v>
      </c>
      <c r="I54" s="45" t="s">
        <v>10</v>
      </c>
      <c r="J54" s="40" t="s">
        <v>202</v>
      </c>
      <c r="K54" s="59" t="s">
        <v>368</v>
      </c>
      <c r="L54" s="44" t="s">
        <v>179</v>
      </c>
      <c r="M54" s="39" t="s">
        <v>7</v>
      </c>
      <c r="N54" s="64"/>
      <c r="O54" s="41"/>
      <c r="P54" s="41"/>
      <c r="Q54" s="41"/>
      <c r="R54" s="41"/>
      <c r="S54" s="41"/>
      <c r="T54" s="41"/>
      <c r="U54" s="41"/>
      <c r="V54" s="41"/>
    </row>
    <row r="55" spans="1:22" ht="19.5" customHeight="1" x14ac:dyDescent="0.4">
      <c r="A55" s="85"/>
      <c r="B55" s="36">
        <v>139</v>
      </c>
      <c r="C55" s="37" t="s">
        <v>255</v>
      </c>
      <c r="D55" s="36" t="s">
        <v>7</v>
      </c>
      <c r="E55" s="36" t="s">
        <v>7</v>
      </c>
      <c r="F55" s="37" t="s">
        <v>7</v>
      </c>
      <c r="G55" s="38" t="s">
        <v>55</v>
      </c>
      <c r="H55" s="36" t="s">
        <v>9</v>
      </c>
      <c r="I55" s="36" t="s">
        <v>10</v>
      </c>
      <c r="J55" s="40" t="s">
        <v>202</v>
      </c>
      <c r="K55" s="59" t="s">
        <v>368</v>
      </c>
      <c r="L55" s="44" t="s">
        <v>179</v>
      </c>
      <c r="M55" s="39" t="s">
        <v>7</v>
      </c>
      <c r="N55" s="64"/>
      <c r="O55" s="41"/>
      <c r="P55" s="41"/>
      <c r="Q55" s="41"/>
      <c r="R55" s="41"/>
      <c r="S55" s="41"/>
      <c r="T55" s="41"/>
      <c r="U55" s="41"/>
      <c r="V55" s="41"/>
    </row>
    <row r="56" spans="1:22" ht="19.5" customHeight="1" x14ac:dyDescent="0.4">
      <c r="A56" s="85"/>
      <c r="B56" s="45">
        <v>140</v>
      </c>
      <c r="C56" s="37" t="s">
        <v>256</v>
      </c>
      <c r="D56" s="36" t="s">
        <v>7</v>
      </c>
      <c r="E56" s="36" t="s">
        <v>7</v>
      </c>
      <c r="F56" s="37" t="s">
        <v>7</v>
      </c>
      <c r="G56" s="46" t="s">
        <v>56</v>
      </c>
      <c r="H56" s="45" t="s">
        <v>9</v>
      </c>
      <c r="I56" s="45" t="s">
        <v>10</v>
      </c>
      <c r="J56" s="40" t="s">
        <v>202</v>
      </c>
      <c r="K56" s="59" t="s">
        <v>368</v>
      </c>
      <c r="L56" s="44" t="s">
        <v>179</v>
      </c>
      <c r="M56" s="39" t="s">
        <v>7</v>
      </c>
      <c r="N56" s="64"/>
      <c r="O56" s="41"/>
      <c r="P56" s="41"/>
      <c r="Q56" s="41"/>
      <c r="R56" s="41"/>
      <c r="S56" s="41"/>
      <c r="T56" s="41"/>
      <c r="U56" s="41"/>
      <c r="V56" s="41"/>
    </row>
    <row r="57" spans="1:22" ht="19.5" customHeight="1" x14ac:dyDescent="0.4">
      <c r="A57" s="85"/>
      <c r="B57" s="36">
        <v>143</v>
      </c>
      <c r="C57" s="37" t="s">
        <v>257</v>
      </c>
      <c r="D57" s="36" t="s">
        <v>7</v>
      </c>
      <c r="E57" s="36" t="s">
        <v>7</v>
      </c>
      <c r="F57" s="37" t="s">
        <v>7</v>
      </c>
      <c r="G57" s="38" t="s">
        <v>258</v>
      </c>
      <c r="H57" s="36" t="s">
        <v>9</v>
      </c>
      <c r="I57" s="36" t="s">
        <v>10</v>
      </c>
      <c r="J57" s="40" t="s">
        <v>214</v>
      </c>
      <c r="K57" s="59" t="s">
        <v>368</v>
      </c>
      <c r="L57" s="44" t="s">
        <v>179</v>
      </c>
      <c r="M57" s="39" t="s">
        <v>7</v>
      </c>
      <c r="N57" s="64"/>
      <c r="O57" s="41"/>
      <c r="P57" s="41"/>
      <c r="Q57" s="41"/>
      <c r="R57" s="41"/>
      <c r="S57" s="41"/>
      <c r="T57" s="41"/>
      <c r="U57" s="41"/>
      <c r="V57" s="41"/>
    </row>
    <row r="58" spans="1:22" ht="19.5" customHeight="1" x14ac:dyDescent="0.4">
      <c r="A58" s="85"/>
      <c r="B58" s="45">
        <v>147</v>
      </c>
      <c r="C58" s="37" t="s">
        <v>259</v>
      </c>
      <c r="D58" s="36" t="s">
        <v>7</v>
      </c>
      <c r="E58" s="36" t="s">
        <v>7</v>
      </c>
      <c r="F58" s="37" t="s">
        <v>7</v>
      </c>
      <c r="G58" s="46" t="s">
        <v>260</v>
      </c>
      <c r="H58" s="45" t="s">
        <v>9</v>
      </c>
      <c r="I58" s="45" t="s">
        <v>10</v>
      </c>
      <c r="J58" s="40" t="s">
        <v>214</v>
      </c>
      <c r="K58" s="59" t="s">
        <v>368</v>
      </c>
      <c r="L58" s="44" t="s">
        <v>179</v>
      </c>
      <c r="M58" s="39" t="s">
        <v>7</v>
      </c>
      <c r="N58" s="64"/>
      <c r="O58" s="41"/>
      <c r="P58" s="41"/>
      <c r="Q58" s="41"/>
      <c r="R58" s="41"/>
      <c r="S58" s="41"/>
      <c r="T58" s="41"/>
      <c r="U58" s="41"/>
      <c r="V58" s="41"/>
    </row>
    <row r="59" spans="1:22" ht="19.5" customHeight="1" x14ac:dyDescent="0.4">
      <c r="A59" s="85"/>
      <c r="B59" s="60">
        <v>152</v>
      </c>
      <c r="C59" s="60" t="s">
        <v>263</v>
      </c>
      <c r="D59" s="36" t="s">
        <v>7</v>
      </c>
      <c r="E59" s="36" t="s">
        <v>7</v>
      </c>
      <c r="F59" s="37" t="s">
        <v>7</v>
      </c>
      <c r="G59" s="62" t="s">
        <v>264</v>
      </c>
      <c r="H59" s="61" t="s">
        <v>7</v>
      </c>
      <c r="I59" s="61" t="s">
        <v>7</v>
      </c>
      <c r="J59" s="36" t="s">
        <v>7</v>
      </c>
      <c r="K59" s="59" t="s">
        <v>368</v>
      </c>
      <c r="L59" s="44" t="s">
        <v>179</v>
      </c>
      <c r="M59" s="63" t="s">
        <v>7</v>
      </c>
      <c r="N59" s="64"/>
      <c r="O59" s="65"/>
      <c r="P59" s="65"/>
      <c r="Q59" s="65"/>
      <c r="R59" s="65"/>
      <c r="S59" s="65"/>
      <c r="T59" s="65"/>
      <c r="U59" s="65"/>
      <c r="V59" s="65"/>
    </row>
    <row r="60" spans="1:22" ht="19.5" customHeight="1" x14ac:dyDescent="0.4">
      <c r="A60" s="85"/>
      <c r="B60" s="53">
        <v>153</v>
      </c>
      <c r="C60" s="36" t="s">
        <v>265</v>
      </c>
      <c r="D60" s="36" t="s">
        <v>7</v>
      </c>
      <c r="E60" s="36" t="s">
        <v>7</v>
      </c>
      <c r="F60" s="37" t="s">
        <v>7</v>
      </c>
      <c r="G60" s="54" t="s">
        <v>266</v>
      </c>
      <c r="H60" s="53" t="s">
        <v>9</v>
      </c>
      <c r="I60" s="53" t="s">
        <v>10</v>
      </c>
      <c r="J60" s="55" t="s">
        <v>189</v>
      </c>
      <c r="K60" s="59" t="s">
        <v>379</v>
      </c>
      <c r="L60" s="44" t="s">
        <v>179</v>
      </c>
      <c r="M60" s="39" t="s">
        <v>7</v>
      </c>
      <c r="N60" s="64"/>
      <c r="O60" s="41"/>
      <c r="P60" s="41"/>
      <c r="Q60" s="41"/>
      <c r="R60" s="41"/>
      <c r="S60" s="41"/>
      <c r="T60" s="41"/>
      <c r="U60" s="41"/>
      <c r="V60" s="41"/>
    </row>
    <row r="61" spans="1:22" ht="89.25" x14ac:dyDescent="0.4">
      <c r="A61" s="86"/>
      <c r="B61" s="45">
        <v>28</v>
      </c>
      <c r="C61" s="37" t="s">
        <v>268</v>
      </c>
      <c r="D61" s="36" t="s">
        <v>57</v>
      </c>
      <c r="E61" s="36" t="s">
        <v>267</v>
      </c>
      <c r="F61" s="40" t="s">
        <v>183</v>
      </c>
      <c r="G61" s="46" t="s">
        <v>58</v>
      </c>
      <c r="H61" s="45" t="s">
        <v>7</v>
      </c>
      <c r="I61" s="36" t="s">
        <v>7</v>
      </c>
      <c r="J61" s="36" t="s">
        <v>7</v>
      </c>
      <c r="K61" s="59" t="s">
        <v>380</v>
      </c>
      <c r="L61" s="44" t="s">
        <v>179</v>
      </c>
      <c r="M61" s="39" t="s">
        <v>7</v>
      </c>
      <c r="N61" s="64"/>
      <c r="O61" s="41"/>
      <c r="P61" s="41"/>
      <c r="Q61" s="41"/>
      <c r="R61" s="41"/>
      <c r="S61" s="41"/>
      <c r="T61" s="41"/>
      <c r="U61" s="41"/>
      <c r="V61" s="41"/>
    </row>
    <row r="62" spans="1:22" ht="90" customHeight="1" x14ac:dyDescent="0.4">
      <c r="A62" s="86"/>
      <c r="B62" s="36">
        <v>29</v>
      </c>
      <c r="C62" s="37" t="s">
        <v>269</v>
      </c>
      <c r="D62" s="36" t="s">
        <v>57</v>
      </c>
      <c r="E62" s="36" t="s">
        <v>267</v>
      </c>
      <c r="F62" s="74" t="s">
        <v>399</v>
      </c>
      <c r="G62" s="38" t="s">
        <v>59</v>
      </c>
      <c r="H62" s="36" t="s">
        <v>7</v>
      </c>
      <c r="I62" s="36" t="s">
        <v>7</v>
      </c>
      <c r="J62" s="36" t="s">
        <v>7</v>
      </c>
      <c r="K62" s="59" t="s">
        <v>381</v>
      </c>
      <c r="L62" s="44" t="s">
        <v>179</v>
      </c>
      <c r="M62" s="39" t="s">
        <v>7</v>
      </c>
      <c r="N62" s="64"/>
      <c r="O62" s="41"/>
      <c r="P62" s="41"/>
      <c r="Q62" s="41"/>
      <c r="R62" s="41"/>
      <c r="S62" s="41"/>
      <c r="T62" s="41"/>
      <c r="U62" s="41"/>
      <c r="V62" s="41"/>
    </row>
    <row r="63" spans="1:22" ht="103.25" customHeight="1" x14ac:dyDescent="0.4">
      <c r="A63" s="86"/>
      <c r="B63" s="45">
        <v>30</v>
      </c>
      <c r="C63" s="37" t="s">
        <v>270</v>
      </c>
      <c r="D63" s="36" t="s">
        <v>57</v>
      </c>
      <c r="E63" s="36" t="s">
        <v>267</v>
      </c>
      <c r="F63" s="40" t="s">
        <v>189</v>
      </c>
      <c r="G63" s="46" t="s">
        <v>60</v>
      </c>
      <c r="H63" s="45" t="s">
        <v>7</v>
      </c>
      <c r="I63" s="36" t="s">
        <v>7</v>
      </c>
      <c r="J63" s="36" t="s">
        <v>7</v>
      </c>
      <c r="K63" s="59" t="s">
        <v>382</v>
      </c>
      <c r="L63" s="44" t="s">
        <v>179</v>
      </c>
      <c r="M63" s="39" t="s">
        <v>7</v>
      </c>
      <c r="N63" s="64"/>
      <c r="O63" s="41"/>
      <c r="P63" s="41"/>
      <c r="Q63" s="41"/>
      <c r="R63" s="41"/>
      <c r="S63" s="41"/>
      <c r="T63" s="41"/>
      <c r="U63" s="41"/>
      <c r="V63" s="41"/>
    </row>
    <row r="64" spans="1:22" ht="19.5" customHeight="1" x14ac:dyDescent="0.4">
      <c r="A64" s="86"/>
      <c r="B64" s="36">
        <v>32</v>
      </c>
      <c r="C64" s="37" t="s">
        <v>271</v>
      </c>
      <c r="D64" s="36" t="s">
        <v>57</v>
      </c>
      <c r="E64" s="36" t="s">
        <v>267</v>
      </c>
      <c r="F64" s="40" t="s">
        <v>183</v>
      </c>
      <c r="G64" s="38" t="s">
        <v>61</v>
      </c>
      <c r="H64" s="36" t="s">
        <v>7</v>
      </c>
      <c r="I64" s="36" t="s">
        <v>7</v>
      </c>
      <c r="J64" s="36" t="s">
        <v>7</v>
      </c>
      <c r="K64" s="59" t="s">
        <v>368</v>
      </c>
      <c r="L64" s="44" t="s">
        <v>179</v>
      </c>
      <c r="M64" s="39" t="s">
        <v>7</v>
      </c>
      <c r="N64" s="64"/>
      <c r="O64" s="41"/>
      <c r="P64" s="41"/>
      <c r="Q64" s="41"/>
      <c r="R64" s="41"/>
      <c r="S64" s="41"/>
      <c r="T64" s="41"/>
      <c r="U64" s="41"/>
      <c r="V64" s="41"/>
    </row>
    <row r="65" spans="1:22" ht="19.5" customHeight="1" x14ac:dyDescent="0.4">
      <c r="A65" s="86"/>
      <c r="B65" s="45">
        <v>33</v>
      </c>
      <c r="C65" s="37" t="s">
        <v>272</v>
      </c>
      <c r="D65" s="36" t="s">
        <v>57</v>
      </c>
      <c r="E65" s="36" t="s">
        <v>267</v>
      </c>
      <c r="F65" s="40" t="s">
        <v>183</v>
      </c>
      <c r="G65" s="46" t="s">
        <v>62</v>
      </c>
      <c r="H65" s="45" t="s">
        <v>7</v>
      </c>
      <c r="I65" s="36" t="s">
        <v>7</v>
      </c>
      <c r="J65" s="36" t="s">
        <v>7</v>
      </c>
      <c r="K65" s="59" t="s">
        <v>368</v>
      </c>
      <c r="L65" s="44" t="s">
        <v>179</v>
      </c>
      <c r="M65" s="39" t="s">
        <v>7</v>
      </c>
      <c r="N65" s="64"/>
      <c r="O65" s="41"/>
      <c r="P65" s="41"/>
      <c r="Q65" s="41"/>
      <c r="R65" s="41"/>
      <c r="S65" s="41"/>
      <c r="T65" s="41"/>
      <c r="U65" s="41"/>
      <c r="V65" s="41"/>
    </row>
    <row r="66" spans="1:22" ht="19.5" customHeight="1" x14ac:dyDescent="0.4">
      <c r="A66" s="86"/>
      <c r="B66" s="36">
        <v>34</v>
      </c>
      <c r="C66" s="37" t="s">
        <v>273</v>
      </c>
      <c r="D66" s="36" t="s">
        <v>57</v>
      </c>
      <c r="E66" s="36" t="s">
        <v>267</v>
      </c>
      <c r="F66" s="56"/>
      <c r="G66" s="38" t="s">
        <v>63</v>
      </c>
      <c r="H66" s="36" t="s">
        <v>7</v>
      </c>
      <c r="I66" s="36" t="s">
        <v>7</v>
      </c>
      <c r="J66" s="36" t="s">
        <v>7</v>
      </c>
      <c r="K66" s="59" t="s">
        <v>368</v>
      </c>
      <c r="L66" s="44" t="s">
        <v>179</v>
      </c>
      <c r="M66" s="33" t="s">
        <v>205</v>
      </c>
      <c r="N66" s="64"/>
      <c r="O66" s="41"/>
      <c r="P66" s="41"/>
      <c r="Q66" s="41"/>
      <c r="R66" s="41"/>
      <c r="S66" s="41"/>
      <c r="T66" s="41"/>
      <c r="U66" s="41"/>
      <c r="V66" s="41"/>
    </row>
    <row r="67" spans="1:22" ht="19.5" customHeight="1" x14ac:dyDescent="0.4">
      <c r="A67" s="86"/>
      <c r="B67" s="45">
        <v>35</v>
      </c>
      <c r="C67" s="37" t="s">
        <v>274</v>
      </c>
      <c r="D67" s="36" t="s">
        <v>57</v>
      </c>
      <c r="E67" s="36" t="s">
        <v>267</v>
      </c>
      <c r="F67" s="40"/>
      <c r="G67" s="46" t="s">
        <v>64</v>
      </c>
      <c r="H67" s="45" t="s">
        <v>7</v>
      </c>
      <c r="I67" s="36" t="s">
        <v>7</v>
      </c>
      <c r="J67" s="36" t="s">
        <v>7</v>
      </c>
      <c r="K67" s="59" t="s">
        <v>368</v>
      </c>
      <c r="L67" s="44" t="s">
        <v>179</v>
      </c>
      <c r="M67" s="33" t="s">
        <v>207</v>
      </c>
      <c r="N67" s="64"/>
      <c r="O67" s="41"/>
      <c r="P67" s="41"/>
      <c r="Q67" s="41"/>
      <c r="R67" s="41"/>
      <c r="S67" s="41"/>
      <c r="T67" s="41"/>
      <c r="U67" s="41"/>
      <c r="V67" s="41"/>
    </row>
    <row r="68" spans="1:22" s="26" customFormat="1" ht="19.5" customHeight="1" x14ac:dyDescent="0.4">
      <c r="A68" s="86"/>
      <c r="B68" s="36">
        <v>36</v>
      </c>
      <c r="C68" s="37" t="s">
        <v>275</v>
      </c>
      <c r="D68" s="36" t="s">
        <v>57</v>
      </c>
      <c r="E68" s="36" t="s">
        <v>267</v>
      </c>
      <c r="F68" s="40" t="s">
        <v>276</v>
      </c>
      <c r="G68" s="38" t="s">
        <v>65</v>
      </c>
      <c r="H68" s="36" t="s">
        <v>7</v>
      </c>
      <c r="I68" s="36" t="s">
        <v>7</v>
      </c>
      <c r="J68" s="36" t="s">
        <v>7</v>
      </c>
      <c r="K68" s="59" t="s">
        <v>368</v>
      </c>
      <c r="L68" s="44" t="s">
        <v>179</v>
      </c>
      <c r="M68" s="39" t="s">
        <v>7</v>
      </c>
      <c r="N68" s="64"/>
      <c r="O68" s="41"/>
      <c r="P68" s="41"/>
      <c r="Q68" s="41"/>
      <c r="R68" s="41"/>
      <c r="S68" s="41"/>
      <c r="T68" s="41"/>
      <c r="U68" s="41"/>
      <c r="V68" s="41"/>
    </row>
    <row r="69" spans="1:22" s="23" customFormat="1" ht="19.5" customHeight="1" x14ac:dyDescent="0.4">
      <c r="A69" s="86"/>
      <c r="B69" s="45">
        <v>37</v>
      </c>
      <c r="C69" s="37" t="s">
        <v>277</v>
      </c>
      <c r="D69" s="36" t="s">
        <v>57</v>
      </c>
      <c r="E69" s="36" t="s">
        <v>267</v>
      </c>
      <c r="F69" s="40" t="s">
        <v>276</v>
      </c>
      <c r="G69" s="46" t="s">
        <v>66</v>
      </c>
      <c r="H69" s="45" t="s">
        <v>7</v>
      </c>
      <c r="I69" s="36" t="s">
        <v>7</v>
      </c>
      <c r="J69" s="36" t="s">
        <v>7</v>
      </c>
      <c r="K69" s="59" t="s">
        <v>368</v>
      </c>
      <c r="L69" s="44" t="s">
        <v>179</v>
      </c>
      <c r="M69" s="39" t="s">
        <v>7</v>
      </c>
      <c r="N69" s="64"/>
      <c r="O69" s="41"/>
      <c r="P69" s="41"/>
      <c r="Q69" s="41"/>
      <c r="R69" s="41"/>
      <c r="S69" s="41"/>
      <c r="T69" s="41"/>
      <c r="U69" s="41"/>
      <c r="V69" s="41"/>
    </row>
    <row r="70" spans="1:22" ht="19.5" customHeight="1" x14ac:dyDescent="0.4">
      <c r="A70" s="86"/>
      <c r="B70" s="36">
        <v>38</v>
      </c>
      <c r="C70" s="37" t="s">
        <v>278</v>
      </c>
      <c r="D70" s="36" t="s">
        <v>57</v>
      </c>
      <c r="E70" s="36" t="s">
        <v>267</v>
      </c>
      <c r="F70" s="40" t="s">
        <v>189</v>
      </c>
      <c r="G70" s="38" t="s">
        <v>67</v>
      </c>
      <c r="H70" s="36" t="s">
        <v>7</v>
      </c>
      <c r="I70" s="36" t="s">
        <v>7</v>
      </c>
      <c r="J70" s="36" t="s">
        <v>7</v>
      </c>
      <c r="K70" s="59" t="s">
        <v>368</v>
      </c>
      <c r="L70" s="44" t="s">
        <v>179</v>
      </c>
      <c r="M70" s="39" t="s">
        <v>7</v>
      </c>
      <c r="N70" s="64"/>
      <c r="O70" s="41"/>
      <c r="P70" s="41"/>
      <c r="Q70" s="41"/>
      <c r="R70" s="41"/>
      <c r="S70" s="41"/>
      <c r="T70" s="41"/>
      <c r="U70" s="41"/>
      <c r="V70" s="41"/>
    </row>
    <row r="71" spans="1:22" ht="19.5" customHeight="1" x14ac:dyDescent="0.4">
      <c r="A71" s="86"/>
      <c r="B71" s="45">
        <v>39</v>
      </c>
      <c r="C71" s="37" t="s">
        <v>279</v>
      </c>
      <c r="D71" s="36" t="s">
        <v>57</v>
      </c>
      <c r="E71" s="36" t="s">
        <v>267</v>
      </c>
      <c r="F71" s="40" t="s">
        <v>189</v>
      </c>
      <c r="G71" s="46" t="s">
        <v>68</v>
      </c>
      <c r="H71" s="45" t="s">
        <v>7</v>
      </c>
      <c r="I71" s="36" t="s">
        <v>7</v>
      </c>
      <c r="J71" s="36" t="s">
        <v>7</v>
      </c>
      <c r="K71" s="59" t="s">
        <v>368</v>
      </c>
      <c r="L71" s="44" t="s">
        <v>179</v>
      </c>
      <c r="M71" s="39" t="s">
        <v>7</v>
      </c>
      <c r="N71" s="64"/>
      <c r="O71" s="41"/>
      <c r="P71" s="41"/>
      <c r="Q71" s="41"/>
      <c r="R71" s="41"/>
      <c r="S71" s="41"/>
      <c r="T71" s="41"/>
      <c r="U71" s="41"/>
      <c r="V71" s="41"/>
    </row>
    <row r="72" spans="1:22" ht="19.5" customHeight="1" x14ac:dyDescent="0.4">
      <c r="A72" s="86"/>
      <c r="B72" s="36">
        <v>41</v>
      </c>
      <c r="C72" s="37" t="s">
        <v>280</v>
      </c>
      <c r="D72" s="36" t="s">
        <v>57</v>
      </c>
      <c r="E72" s="36" t="s">
        <v>267</v>
      </c>
      <c r="F72" s="40"/>
      <c r="G72" s="38" t="s">
        <v>69</v>
      </c>
      <c r="H72" s="36" t="s">
        <v>7</v>
      </c>
      <c r="I72" s="36" t="s">
        <v>7</v>
      </c>
      <c r="J72" s="36" t="s">
        <v>7</v>
      </c>
      <c r="K72" s="59" t="s">
        <v>368</v>
      </c>
      <c r="L72" s="44" t="s">
        <v>179</v>
      </c>
      <c r="M72" s="39" t="s">
        <v>7</v>
      </c>
      <c r="N72" s="64"/>
      <c r="O72" s="41"/>
      <c r="P72" s="41"/>
      <c r="Q72" s="41"/>
      <c r="R72" s="41"/>
      <c r="S72" s="41"/>
      <c r="T72" s="41"/>
      <c r="U72" s="41"/>
      <c r="V72" s="41"/>
    </row>
    <row r="73" spans="1:22" ht="19.5" customHeight="1" x14ac:dyDescent="0.4">
      <c r="A73" s="86"/>
      <c r="B73" s="45">
        <v>42</v>
      </c>
      <c r="C73" s="37" t="s">
        <v>281</v>
      </c>
      <c r="D73" s="36" t="s">
        <v>57</v>
      </c>
      <c r="E73" s="36" t="s">
        <v>267</v>
      </c>
      <c r="F73" s="40"/>
      <c r="G73" s="46" t="s">
        <v>70</v>
      </c>
      <c r="H73" s="45" t="s">
        <v>7</v>
      </c>
      <c r="I73" s="36" t="s">
        <v>7</v>
      </c>
      <c r="J73" s="36" t="s">
        <v>7</v>
      </c>
      <c r="K73" s="59" t="s">
        <v>368</v>
      </c>
      <c r="L73" s="44" t="s">
        <v>179</v>
      </c>
      <c r="M73" s="39" t="s">
        <v>7</v>
      </c>
      <c r="N73" s="64"/>
      <c r="O73" s="41"/>
      <c r="P73" s="41"/>
      <c r="Q73" s="41"/>
      <c r="R73" s="41"/>
      <c r="S73" s="41"/>
      <c r="T73" s="41"/>
      <c r="U73" s="41"/>
      <c r="V73" s="41"/>
    </row>
    <row r="74" spans="1:22" ht="19.5" customHeight="1" x14ac:dyDescent="0.4">
      <c r="A74" s="86"/>
      <c r="B74" s="36">
        <v>43</v>
      </c>
      <c r="C74" s="37" t="s">
        <v>282</v>
      </c>
      <c r="D74" s="36" t="s">
        <v>57</v>
      </c>
      <c r="E74" s="36" t="s">
        <v>267</v>
      </c>
      <c r="F74" s="40"/>
      <c r="G74" s="38" t="s">
        <v>71</v>
      </c>
      <c r="H74" s="36" t="s">
        <v>7</v>
      </c>
      <c r="I74" s="36" t="s">
        <v>7</v>
      </c>
      <c r="J74" s="36" t="s">
        <v>7</v>
      </c>
      <c r="K74" s="59" t="s">
        <v>368</v>
      </c>
      <c r="L74" s="44" t="s">
        <v>179</v>
      </c>
      <c r="M74" s="39" t="s">
        <v>7</v>
      </c>
      <c r="N74" s="64"/>
      <c r="O74" s="41"/>
      <c r="P74" s="41"/>
      <c r="Q74" s="41"/>
      <c r="R74" s="41"/>
      <c r="S74" s="41"/>
      <c r="T74" s="41"/>
      <c r="U74" s="41"/>
      <c r="V74" s="41"/>
    </row>
    <row r="75" spans="1:22" ht="19.5" customHeight="1" x14ac:dyDescent="0.4">
      <c r="A75" s="86"/>
      <c r="B75" s="36">
        <v>45</v>
      </c>
      <c r="C75" s="37" t="s">
        <v>283</v>
      </c>
      <c r="D75" s="36" t="s">
        <v>57</v>
      </c>
      <c r="E75" s="36" t="s">
        <v>267</v>
      </c>
      <c r="F75" s="40"/>
      <c r="G75" s="38" t="s">
        <v>72</v>
      </c>
      <c r="H75" s="36" t="s">
        <v>7</v>
      </c>
      <c r="I75" s="36" t="s">
        <v>7</v>
      </c>
      <c r="J75" s="36" t="s">
        <v>7</v>
      </c>
      <c r="K75" s="59" t="s">
        <v>368</v>
      </c>
      <c r="L75" s="44" t="s">
        <v>179</v>
      </c>
      <c r="M75" s="39" t="s">
        <v>7</v>
      </c>
      <c r="N75" s="64"/>
      <c r="O75" s="41"/>
      <c r="P75" s="41"/>
      <c r="Q75" s="41"/>
      <c r="R75" s="41"/>
      <c r="S75" s="41"/>
      <c r="T75" s="41"/>
      <c r="U75" s="41"/>
      <c r="V75" s="41"/>
    </row>
    <row r="76" spans="1:22" x14ac:dyDescent="0.4">
      <c r="A76" s="86"/>
      <c r="B76" s="45">
        <v>46</v>
      </c>
      <c r="C76" s="37" t="s">
        <v>284</v>
      </c>
      <c r="D76" s="36" t="s">
        <v>57</v>
      </c>
      <c r="E76" s="36" t="s">
        <v>267</v>
      </c>
      <c r="F76" s="40"/>
      <c r="G76" s="46" t="s">
        <v>73</v>
      </c>
      <c r="H76" s="36" t="s">
        <v>7</v>
      </c>
      <c r="I76" s="36" t="s">
        <v>7</v>
      </c>
      <c r="J76" s="36" t="s">
        <v>7</v>
      </c>
      <c r="K76" s="59" t="s">
        <v>368</v>
      </c>
      <c r="L76" s="44" t="s">
        <v>179</v>
      </c>
      <c r="M76" s="39" t="s">
        <v>7</v>
      </c>
      <c r="N76" s="64"/>
      <c r="O76" s="41"/>
      <c r="P76" s="41"/>
      <c r="Q76" s="41"/>
      <c r="R76" s="41"/>
      <c r="S76" s="41"/>
      <c r="T76" s="41"/>
      <c r="U76" s="41"/>
      <c r="V76" s="41"/>
    </row>
    <row r="77" spans="1:22" ht="178.5" x14ac:dyDescent="0.4">
      <c r="A77" s="86"/>
      <c r="B77" s="36">
        <v>58</v>
      </c>
      <c r="C77" s="37" t="s">
        <v>285</v>
      </c>
      <c r="D77" s="36" t="s">
        <v>57</v>
      </c>
      <c r="E77" s="36" t="s">
        <v>267</v>
      </c>
      <c r="F77" s="40"/>
      <c r="G77" s="38" t="s">
        <v>74</v>
      </c>
      <c r="H77" s="36" t="s">
        <v>9</v>
      </c>
      <c r="I77" s="36" t="s">
        <v>10</v>
      </c>
      <c r="J77" s="36" t="s">
        <v>7</v>
      </c>
      <c r="K77" s="59" t="s">
        <v>383</v>
      </c>
      <c r="L77" s="44" t="s">
        <v>179</v>
      </c>
      <c r="M77" s="39" t="s">
        <v>286</v>
      </c>
      <c r="N77" s="64"/>
      <c r="O77" s="41"/>
      <c r="P77" s="41"/>
      <c r="Q77" s="41"/>
      <c r="R77" s="41"/>
      <c r="S77" s="41"/>
      <c r="T77" s="41"/>
      <c r="U77" s="41"/>
      <c r="V77" s="41"/>
    </row>
    <row r="78" spans="1:22" ht="37.25" customHeight="1" x14ac:dyDescent="0.4">
      <c r="A78" s="86"/>
      <c r="B78" s="36">
        <v>59</v>
      </c>
      <c r="C78" s="37" t="s">
        <v>226</v>
      </c>
      <c r="D78" s="36" t="s">
        <v>57</v>
      </c>
      <c r="E78" s="36" t="s">
        <v>267</v>
      </c>
      <c r="F78" s="40" t="s">
        <v>287</v>
      </c>
      <c r="G78" s="38" t="s">
        <v>40</v>
      </c>
      <c r="H78" s="45" t="s">
        <v>7</v>
      </c>
      <c r="I78" s="45" t="s">
        <v>7</v>
      </c>
      <c r="J78" s="40" t="s">
        <v>287</v>
      </c>
      <c r="K78" s="59" t="s">
        <v>384</v>
      </c>
      <c r="L78" s="44" t="s">
        <v>179</v>
      </c>
      <c r="M78" s="39" t="s">
        <v>288</v>
      </c>
      <c r="N78" s="64"/>
      <c r="O78" s="41"/>
      <c r="P78" s="41"/>
      <c r="Q78" s="41"/>
      <c r="R78" s="41"/>
      <c r="S78" s="41"/>
      <c r="T78" s="41"/>
      <c r="U78" s="41"/>
      <c r="V78" s="41"/>
    </row>
    <row r="79" spans="1:22" ht="35.450000000000003" customHeight="1" x14ac:dyDescent="0.4">
      <c r="A79" s="86"/>
      <c r="B79" s="36">
        <v>60</v>
      </c>
      <c r="C79" s="37" t="s">
        <v>229</v>
      </c>
      <c r="D79" s="36" t="s">
        <v>57</v>
      </c>
      <c r="E79" s="36" t="s">
        <v>267</v>
      </c>
      <c r="F79" s="40" t="s">
        <v>289</v>
      </c>
      <c r="G79" s="38" t="s">
        <v>41</v>
      </c>
      <c r="H79" s="36" t="s">
        <v>7</v>
      </c>
      <c r="I79" s="36" t="s">
        <v>7</v>
      </c>
      <c r="J79" s="40" t="s">
        <v>289</v>
      </c>
      <c r="K79" s="59" t="s">
        <v>384</v>
      </c>
      <c r="L79" s="44" t="s">
        <v>179</v>
      </c>
      <c r="M79" s="39" t="s">
        <v>288</v>
      </c>
      <c r="N79" s="64"/>
      <c r="O79" s="41"/>
      <c r="P79" s="41"/>
      <c r="Q79" s="41"/>
      <c r="R79" s="41"/>
      <c r="S79" s="41"/>
      <c r="T79" s="41"/>
      <c r="U79" s="41"/>
      <c r="V79" s="41"/>
    </row>
    <row r="80" spans="1:22" ht="19.5" customHeight="1" x14ac:dyDescent="0.4">
      <c r="A80" s="86"/>
      <c r="B80" s="45">
        <v>63</v>
      </c>
      <c r="C80" s="37" t="s">
        <v>290</v>
      </c>
      <c r="D80" s="36" t="s">
        <v>57</v>
      </c>
      <c r="E80" s="36" t="s">
        <v>267</v>
      </c>
      <c r="F80" s="40" t="s">
        <v>291</v>
      </c>
      <c r="G80" s="46" t="s">
        <v>75</v>
      </c>
      <c r="H80" s="45" t="s">
        <v>7</v>
      </c>
      <c r="I80" s="45" t="s">
        <v>7</v>
      </c>
      <c r="J80" s="40" t="s">
        <v>291</v>
      </c>
      <c r="K80" s="59" t="s">
        <v>368</v>
      </c>
      <c r="L80" s="44" t="s">
        <v>179</v>
      </c>
      <c r="M80" s="39" t="s">
        <v>292</v>
      </c>
      <c r="N80" s="64"/>
      <c r="O80" s="41"/>
      <c r="P80" s="41"/>
      <c r="Q80" s="41"/>
      <c r="R80" s="41"/>
      <c r="S80" s="41"/>
      <c r="T80" s="41"/>
      <c r="U80" s="41"/>
      <c r="V80" s="41"/>
    </row>
    <row r="81" spans="1:22" ht="76.5" customHeight="1" x14ac:dyDescent="0.4">
      <c r="A81" s="86"/>
      <c r="B81" s="36">
        <v>66</v>
      </c>
      <c r="C81" s="37" t="s">
        <v>293</v>
      </c>
      <c r="D81" s="36" t="s">
        <v>57</v>
      </c>
      <c r="E81" s="36" t="s">
        <v>267</v>
      </c>
      <c r="F81" s="40" t="s">
        <v>44</v>
      </c>
      <c r="G81" s="38" t="s">
        <v>294</v>
      </c>
      <c r="H81" s="36" t="s">
        <v>43</v>
      </c>
      <c r="I81" s="36" t="s">
        <v>76</v>
      </c>
      <c r="J81" s="40" t="s">
        <v>44</v>
      </c>
      <c r="K81" s="59" t="s">
        <v>385</v>
      </c>
      <c r="L81" s="44" t="s">
        <v>179</v>
      </c>
      <c r="M81" s="39" t="s">
        <v>7</v>
      </c>
      <c r="N81" s="64"/>
      <c r="O81" s="41"/>
      <c r="P81" s="41"/>
      <c r="Q81" s="41"/>
      <c r="R81" s="41"/>
      <c r="S81" s="41"/>
      <c r="T81" s="41"/>
      <c r="U81" s="41"/>
      <c r="V81" s="41"/>
    </row>
    <row r="82" spans="1:22" ht="48.6" customHeight="1" x14ac:dyDescent="0.4">
      <c r="A82" s="86"/>
      <c r="B82" s="45">
        <v>67</v>
      </c>
      <c r="C82" s="37" t="s">
        <v>295</v>
      </c>
      <c r="D82" s="36" t="s">
        <v>57</v>
      </c>
      <c r="E82" s="36" t="s">
        <v>267</v>
      </c>
      <c r="F82" s="40" t="s">
        <v>44</v>
      </c>
      <c r="G82" s="46" t="s">
        <v>296</v>
      </c>
      <c r="H82" s="45" t="s">
        <v>43</v>
      </c>
      <c r="I82" s="36" t="s">
        <v>76</v>
      </c>
      <c r="J82" s="40" t="s">
        <v>44</v>
      </c>
      <c r="K82" s="59" t="s">
        <v>385</v>
      </c>
      <c r="L82" s="44" t="s">
        <v>179</v>
      </c>
      <c r="M82" s="39" t="s">
        <v>7</v>
      </c>
      <c r="N82" s="64"/>
      <c r="O82" s="41"/>
      <c r="P82" s="41"/>
      <c r="Q82" s="41"/>
      <c r="R82" s="41"/>
      <c r="S82" s="41"/>
      <c r="T82" s="41"/>
      <c r="U82" s="41"/>
      <c r="V82" s="41"/>
    </row>
    <row r="83" spans="1:22" ht="42" customHeight="1" x14ac:dyDescent="0.4">
      <c r="A83" s="86"/>
      <c r="B83" s="36">
        <v>68</v>
      </c>
      <c r="C83" s="37" t="s">
        <v>297</v>
      </c>
      <c r="D83" s="36" t="s">
        <v>57</v>
      </c>
      <c r="E83" s="36" t="s">
        <v>267</v>
      </c>
      <c r="F83" s="40" t="s">
        <v>44</v>
      </c>
      <c r="G83" s="38" t="s">
        <v>298</v>
      </c>
      <c r="H83" s="36" t="s">
        <v>43</v>
      </c>
      <c r="I83" s="36" t="s">
        <v>76</v>
      </c>
      <c r="J83" s="40" t="s">
        <v>44</v>
      </c>
      <c r="K83" s="59" t="s">
        <v>385</v>
      </c>
      <c r="L83" s="44" t="s">
        <v>179</v>
      </c>
      <c r="M83" s="39" t="s">
        <v>7</v>
      </c>
      <c r="N83" s="64"/>
      <c r="O83" s="41"/>
      <c r="P83" s="41"/>
      <c r="Q83" s="41"/>
      <c r="R83" s="41"/>
      <c r="S83" s="41"/>
      <c r="T83" s="41"/>
      <c r="U83" s="41"/>
      <c r="V83" s="41"/>
    </row>
    <row r="84" spans="1:22" ht="19.5" customHeight="1" x14ac:dyDescent="0.4">
      <c r="A84" s="86"/>
      <c r="B84" s="36">
        <v>71</v>
      </c>
      <c r="C84" s="36" t="s">
        <v>299</v>
      </c>
      <c r="D84" s="36" t="s">
        <v>57</v>
      </c>
      <c r="E84" s="36" t="s">
        <v>267</v>
      </c>
      <c r="F84" s="52" t="s">
        <v>183</v>
      </c>
      <c r="G84" s="38" t="s">
        <v>77</v>
      </c>
      <c r="H84" s="36" t="s">
        <v>7</v>
      </c>
      <c r="I84" s="36" t="s">
        <v>7</v>
      </c>
      <c r="J84" s="36" t="s">
        <v>7</v>
      </c>
      <c r="K84" s="59" t="s">
        <v>368</v>
      </c>
      <c r="L84" s="44" t="s">
        <v>179</v>
      </c>
      <c r="M84" s="51" t="s">
        <v>7</v>
      </c>
      <c r="N84" s="64"/>
      <c r="O84" s="28"/>
      <c r="P84" s="28"/>
      <c r="Q84" s="28"/>
      <c r="R84" s="28"/>
      <c r="S84" s="28"/>
      <c r="T84" s="28"/>
      <c r="U84" s="28"/>
      <c r="V84" s="28"/>
    </row>
    <row r="85" spans="1:22" ht="19.5" customHeight="1" x14ac:dyDescent="0.4">
      <c r="A85" s="86"/>
      <c r="B85" s="36">
        <v>83</v>
      </c>
      <c r="C85" s="37" t="s">
        <v>300</v>
      </c>
      <c r="D85" s="36" t="s">
        <v>57</v>
      </c>
      <c r="E85" s="36" t="s">
        <v>267</v>
      </c>
      <c r="F85" s="40" t="s">
        <v>7</v>
      </c>
      <c r="G85" s="38" t="s">
        <v>78</v>
      </c>
      <c r="H85" s="36" t="s">
        <v>7</v>
      </c>
      <c r="I85" s="36" t="s">
        <v>7</v>
      </c>
      <c r="J85" s="36" t="s">
        <v>7</v>
      </c>
      <c r="K85" s="59" t="s">
        <v>368</v>
      </c>
      <c r="L85" s="44" t="s">
        <v>179</v>
      </c>
      <c r="M85" s="43" t="s">
        <v>301</v>
      </c>
      <c r="N85" s="64"/>
      <c r="O85" s="41"/>
      <c r="P85" s="41"/>
      <c r="Q85" s="41"/>
      <c r="R85" s="41"/>
      <c r="S85" s="41"/>
      <c r="T85" s="41"/>
      <c r="U85" s="41"/>
      <c r="V85" s="41"/>
    </row>
    <row r="86" spans="1:22" ht="88.8" customHeight="1" x14ac:dyDescent="0.4">
      <c r="A86" s="86"/>
      <c r="B86" s="36">
        <v>85</v>
      </c>
      <c r="C86" s="49" t="s">
        <v>239</v>
      </c>
      <c r="D86" s="36" t="s">
        <v>57</v>
      </c>
      <c r="E86" s="36" t="s">
        <v>267</v>
      </c>
      <c r="F86" s="40" t="s">
        <v>7</v>
      </c>
      <c r="G86" s="50" t="s">
        <v>79</v>
      </c>
      <c r="H86" s="36" t="s">
        <v>7</v>
      </c>
      <c r="I86" s="36" t="s">
        <v>7</v>
      </c>
      <c r="J86" s="36" t="s">
        <v>7</v>
      </c>
      <c r="K86" s="59" t="s">
        <v>386</v>
      </c>
      <c r="L86" s="44" t="s">
        <v>179</v>
      </c>
      <c r="M86" s="39" t="s">
        <v>248</v>
      </c>
      <c r="N86" s="64"/>
      <c r="O86" s="41"/>
      <c r="P86" s="41"/>
      <c r="Q86" s="41"/>
      <c r="R86" s="41"/>
      <c r="S86" s="41"/>
      <c r="T86" s="41"/>
      <c r="U86" s="41"/>
      <c r="V86" s="41"/>
    </row>
    <row r="87" spans="1:22" ht="75.599999999999994" customHeight="1" x14ac:dyDescent="0.4">
      <c r="A87" s="86"/>
      <c r="B87" s="45">
        <v>89</v>
      </c>
      <c r="C87" s="37" t="s">
        <v>302</v>
      </c>
      <c r="D87" s="36" t="s">
        <v>57</v>
      </c>
      <c r="E87" s="36" t="s">
        <v>303</v>
      </c>
      <c r="F87" s="40" t="s">
        <v>44</v>
      </c>
      <c r="G87" s="50" t="s">
        <v>80</v>
      </c>
      <c r="H87" s="36" t="s">
        <v>43</v>
      </c>
      <c r="I87" s="36" t="s">
        <v>44</v>
      </c>
      <c r="J87" s="36" t="s">
        <v>7</v>
      </c>
      <c r="K87" s="59" t="s">
        <v>387</v>
      </c>
      <c r="L87" s="44" t="s">
        <v>179</v>
      </c>
      <c r="M87" s="43" t="s">
        <v>304</v>
      </c>
      <c r="N87" s="64"/>
      <c r="O87" s="41"/>
      <c r="P87" s="41"/>
      <c r="Q87" s="41"/>
      <c r="R87" s="41"/>
      <c r="S87" s="41"/>
      <c r="T87" s="41"/>
      <c r="U87" s="41"/>
      <c r="V87" s="41"/>
    </row>
    <row r="88" spans="1:22" ht="19.5" customHeight="1" x14ac:dyDescent="0.4">
      <c r="A88" s="86"/>
      <c r="B88" s="45">
        <v>90</v>
      </c>
      <c r="C88" s="37" t="s">
        <v>305</v>
      </c>
      <c r="D88" s="36" t="s">
        <v>57</v>
      </c>
      <c r="E88" s="36" t="s">
        <v>306</v>
      </c>
      <c r="F88" s="40" t="s">
        <v>307</v>
      </c>
      <c r="G88" s="38" t="s">
        <v>81</v>
      </c>
      <c r="H88" s="36" t="s">
        <v>7</v>
      </c>
      <c r="I88" s="36" t="s">
        <v>7</v>
      </c>
      <c r="J88" s="36" t="s">
        <v>7</v>
      </c>
      <c r="K88" s="59" t="s">
        <v>368</v>
      </c>
      <c r="L88" s="44" t="s">
        <v>179</v>
      </c>
      <c r="M88" s="39" t="s">
        <v>7</v>
      </c>
      <c r="N88" s="64"/>
      <c r="O88" s="41"/>
      <c r="P88" s="41"/>
      <c r="Q88" s="41"/>
      <c r="R88" s="41"/>
      <c r="S88" s="41"/>
      <c r="T88" s="41"/>
      <c r="U88" s="41"/>
      <c r="V88" s="41"/>
    </row>
    <row r="89" spans="1:22" ht="79.25" customHeight="1" x14ac:dyDescent="0.4">
      <c r="A89" s="86"/>
      <c r="B89" s="45">
        <v>112</v>
      </c>
      <c r="C89" s="37" t="s">
        <v>245</v>
      </c>
      <c r="D89" s="36" t="s">
        <v>57</v>
      </c>
      <c r="E89" s="36" t="s">
        <v>267</v>
      </c>
      <c r="F89" s="40" t="s">
        <v>7</v>
      </c>
      <c r="G89" s="38" t="s">
        <v>308</v>
      </c>
      <c r="H89" s="36" t="s">
        <v>7</v>
      </c>
      <c r="I89" s="36" t="s">
        <v>7</v>
      </c>
      <c r="J89" s="36" t="s">
        <v>7</v>
      </c>
      <c r="K89" s="59" t="s">
        <v>388</v>
      </c>
      <c r="L89" s="44" t="s">
        <v>179</v>
      </c>
      <c r="M89" s="39" t="s">
        <v>246</v>
      </c>
      <c r="N89" s="64"/>
      <c r="O89" s="41"/>
      <c r="P89" s="41"/>
      <c r="Q89" s="41"/>
      <c r="R89" s="41"/>
      <c r="S89" s="41"/>
      <c r="T89" s="41"/>
      <c r="U89" s="41"/>
      <c r="V89" s="41"/>
    </row>
    <row r="90" spans="1:22" ht="46.8" customHeight="1" x14ac:dyDescent="0.4">
      <c r="A90" s="86"/>
      <c r="B90" s="45">
        <v>113</v>
      </c>
      <c r="C90" s="37" t="s">
        <v>247</v>
      </c>
      <c r="D90" s="36" t="s">
        <v>57</v>
      </c>
      <c r="E90" s="36" t="s">
        <v>267</v>
      </c>
      <c r="F90" s="40" t="s">
        <v>7</v>
      </c>
      <c r="G90" s="38" t="s">
        <v>309</v>
      </c>
      <c r="H90" s="36" t="s">
        <v>7</v>
      </c>
      <c r="I90" s="36" t="s">
        <v>7</v>
      </c>
      <c r="J90" s="36" t="s">
        <v>7</v>
      </c>
      <c r="K90" s="59" t="s">
        <v>389</v>
      </c>
      <c r="L90" s="44" t="s">
        <v>179</v>
      </c>
      <c r="M90" s="39" t="s">
        <v>248</v>
      </c>
      <c r="N90" s="64"/>
      <c r="O90" s="41"/>
      <c r="P90" s="41"/>
      <c r="Q90" s="41"/>
      <c r="R90" s="41"/>
      <c r="S90" s="41"/>
      <c r="T90" s="41"/>
      <c r="U90" s="41"/>
      <c r="V90" s="41"/>
    </row>
    <row r="91" spans="1:22" ht="19.5" customHeight="1" x14ac:dyDescent="0.4">
      <c r="A91" s="86"/>
      <c r="B91" s="36">
        <v>131</v>
      </c>
      <c r="C91" s="37" t="s">
        <v>310</v>
      </c>
      <c r="D91" s="36" t="s">
        <v>57</v>
      </c>
      <c r="E91" s="36" t="s">
        <v>267</v>
      </c>
      <c r="F91" s="40" t="s">
        <v>7</v>
      </c>
      <c r="G91" s="38" t="s">
        <v>311</v>
      </c>
      <c r="H91" s="36" t="s">
        <v>7</v>
      </c>
      <c r="I91" s="36" t="s">
        <v>7</v>
      </c>
      <c r="J91" s="36" t="s">
        <v>7</v>
      </c>
      <c r="K91" s="59" t="s">
        <v>368</v>
      </c>
      <c r="L91" s="44" t="s">
        <v>179</v>
      </c>
      <c r="M91" s="39" t="s">
        <v>7</v>
      </c>
      <c r="N91" s="64"/>
      <c r="O91" s="41"/>
      <c r="P91" s="41"/>
      <c r="Q91" s="41"/>
      <c r="R91" s="41"/>
      <c r="S91" s="41"/>
      <c r="T91" s="41"/>
      <c r="U91" s="41"/>
      <c r="V91" s="41"/>
    </row>
    <row r="92" spans="1:22" ht="19.5" customHeight="1" x14ac:dyDescent="0.4">
      <c r="A92" s="86"/>
      <c r="B92" s="36">
        <v>132</v>
      </c>
      <c r="C92" s="37" t="s">
        <v>312</v>
      </c>
      <c r="D92" s="36" t="s">
        <v>57</v>
      </c>
      <c r="E92" s="36" t="s">
        <v>267</v>
      </c>
      <c r="F92" s="40" t="s">
        <v>7</v>
      </c>
      <c r="G92" s="38" t="s">
        <v>313</v>
      </c>
      <c r="H92" s="36" t="s">
        <v>7</v>
      </c>
      <c r="I92" s="36" t="s">
        <v>7</v>
      </c>
      <c r="J92" s="36" t="s">
        <v>7</v>
      </c>
      <c r="K92" s="59" t="s">
        <v>368</v>
      </c>
      <c r="L92" s="44" t="s">
        <v>179</v>
      </c>
      <c r="M92" s="39" t="s">
        <v>7</v>
      </c>
      <c r="N92" s="64"/>
      <c r="O92" s="41"/>
      <c r="P92" s="41"/>
      <c r="Q92" s="41"/>
      <c r="R92" s="41"/>
      <c r="S92" s="41"/>
      <c r="T92" s="41"/>
      <c r="U92" s="41"/>
      <c r="V92" s="41"/>
    </row>
    <row r="93" spans="1:22" ht="19.5" customHeight="1" x14ac:dyDescent="0.4">
      <c r="A93" s="86"/>
      <c r="B93" s="36">
        <v>135</v>
      </c>
      <c r="C93" s="37" t="s">
        <v>314</v>
      </c>
      <c r="D93" s="36" t="s">
        <v>57</v>
      </c>
      <c r="E93" s="36" t="s">
        <v>267</v>
      </c>
      <c r="F93" s="40" t="s">
        <v>202</v>
      </c>
      <c r="G93" s="38" t="s">
        <v>315</v>
      </c>
      <c r="H93" s="36" t="s">
        <v>7</v>
      </c>
      <c r="I93" s="36" t="s">
        <v>7</v>
      </c>
      <c r="J93" s="36" t="s">
        <v>7</v>
      </c>
      <c r="K93" s="59" t="s">
        <v>368</v>
      </c>
      <c r="L93" s="44" t="s">
        <v>179</v>
      </c>
      <c r="M93" s="39" t="s">
        <v>316</v>
      </c>
      <c r="N93" s="64"/>
      <c r="O93" s="41"/>
      <c r="P93" s="41"/>
      <c r="Q93" s="41"/>
      <c r="R93" s="41"/>
      <c r="S93" s="41"/>
      <c r="T93" s="41"/>
      <c r="U93" s="41"/>
      <c r="V93" s="41"/>
    </row>
    <row r="94" spans="1:22" ht="19.5" customHeight="1" x14ac:dyDescent="0.4">
      <c r="A94" s="86"/>
      <c r="B94" s="45">
        <v>137</v>
      </c>
      <c r="C94" s="37" t="s">
        <v>317</v>
      </c>
      <c r="D94" s="36" t="s">
        <v>57</v>
      </c>
      <c r="E94" s="36" t="s">
        <v>267</v>
      </c>
      <c r="F94" s="40" t="s">
        <v>202</v>
      </c>
      <c r="G94" s="46" t="s">
        <v>318</v>
      </c>
      <c r="H94" s="36" t="s">
        <v>7</v>
      </c>
      <c r="I94" s="36" t="s">
        <v>7</v>
      </c>
      <c r="J94" s="36" t="s">
        <v>7</v>
      </c>
      <c r="K94" s="59" t="s">
        <v>368</v>
      </c>
      <c r="L94" s="44" t="s">
        <v>179</v>
      </c>
      <c r="M94" s="39" t="s">
        <v>316</v>
      </c>
      <c r="N94" s="64"/>
      <c r="O94" s="41"/>
      <c r="P94" s="41"/>
      <c r="Q94" s="41"/>
      <c r="R94" s="41"/>
      <c r="S94" s="41"/>
      <c r="T94" s="41"/>
      <c r="U94" s="41"/>
      <c r="V94" s="41"/>
    </row>
    <row r="95" spans="1:22" ht="19.5" customHeight="1" x14ac:dyDescent="0.4">
      <c r="A95" s="86"/>
      <c r="B95" s="36">
        <v>141</v>
      </c>
      <c r="C95" s="37" t="s">
        <v>319</v>
      </c>
      <c r="D95" s="36" t="s">
        <v>57</v>
      </c>
      <c r="E95" s="36" t="s">
        <v>267</v>
      </c>
      <c r="F95" s="40" t="s">
        <v>214</v>
      </c>
      <c r="G95" s="38" t="s">
        <v>320</v>
      </c>
      <c r="H95" s="36" t="s">
        <v>7</v>
      </c>
      <c r="I95" s="36" t="s">
        <v>7</v>
      </c>
      <c r="J95" s="36" t="s">
        <v>7</v>
      </c>
      <c r="K95" s="59" t="s">
        <v>368</v>
      </c>
      <c r="L95" s="44" t="s">
        <v>179</v>
      </c>
      <c r="M95" s="39" t="s">
        <v>7</v>
      </c>
      <c r="N95" s="64"/>
      <c r="O95" s="41"/>
      <c r="P95" s="41"/>
      <c r="Q95" s="41"/>
      <c r="R95" s="41"/>
      <c r="S95" s="41"/>
      <c r="T95" s="41"/>
      <c r="U95" s="41"/>
      <c r="V95" s="41"/>
    </row>
    <row r="96" spans="1:22" ht="19.5" customHeight="1" x14ac:dyDescent="0.4">
      <c r="A96" s="86"/>
      <c r="B96" s="45">
        <v>145</v>
      </c>
      <c r="C96" s="37" t="s">
        <v>321</v>
      </c>
      <c r="D96" s="36" t="s">
        <v>57</v>
      </c>
      <c r="E96" s="36" t="s">
        <v>267</v>
      </c>
      <c r="F96" s="40" t="s">
        <v>214</v>
      </c>
      <c r="G96" s="46" t="s">
        <v>322</v>
      </c>
      <c r="H96" s="36" t="s">
        <v>7</v>
      </c>
      <c r="I96" s="36" t="s">
        <v>7</v>
      </c>
      <c r="J96" s="36" t="s">
        <v>7</v>
      </c>
      <c r="K96" s="59" t="s">
        <v>368</v>
      </c>
      <c r="L96" s="44" t="s">
        <v>179</v>
      </c>
      <c r="M96" s="39" t="s">
        <v>7</v>
      </c>
      <c r="N96" s="64"/>
      <c r="O96" s="41"/>
      <c r="P96" s="41"/>
      <c r="Q96" s="41"/>
      <c r="R96" s="41"/>
      <c r="S96" s="41"/>
      <c r="T96" s="41"/>
      <c r="U96" s="41"/>
      <c r="V96" s="41"/>
    </row>
    <row r="97" spans="1:22" ht="51" x14ac:dyDescent="0.4">
      <c r="A97" s="86"/>
      <c r="B97" s="36">
        <v>65</v>
      </c>
      <c r="C97" s="37" t="s">
        <v>231</v>
      </c>
      <c r="D97" s="36" t="s">
        <v>57</v>
      </c>
      <c r="E97" s="36" t="s">
        <v>267</v>
      </c>
      <c r="F97" s="40"/>
      <c r="G97" s="38" t="s">
        <v>323</v>
      </c>
      <c r="H97" s="36" t="s">
        <v>83</v>
      </c>
      <c r="I97" s="36" t="s">
        <v>10</v>
      </c>
      <c r="J97" s="36" t="s">
        <v>7</v>
      </c>
      <c r="K97" s="59" t="s">
        <v>390</v>
      </c>
      <c r="L97" s="44" t="s">
        <v>179</v>
      </c>
      <c r="M97" s="39" t="s">
        <v>7</v>
      </c>
      <c r="N97" s="64"/>
      <c r="O97" s="41"/>
      <c r="P97" s="41"/>
      <c r="Q97" s="41"/>
      <c r="R97" s="41"/>
      <c r="S97" s="41"/>
      <c r="T97" s="41"/>
      <c r="U97" s="41"/>
      <c r="V97" s="41"/>
    </row>
    <row r="98" spans="1:22" x14ac:dyDescent="0.4">
      <c r="A98" s="86"/>
      <c r="B98" s="45">
        <v>66</v>
      </c>
      <c r="C98" s="37" t="s">
        <v>293</v>
      </c>
      <c r="D98" s="36" t="s">
        <v>57</v>
      </c>
      <c r="E98" s="36" t="s">
        <v>306</v>
      </c>
      <c r="F98" s="40"/>
      <c r="G98" s="46" t="s">
        <v>324</v>
      </c>
      <c r="H98" s="45" t="s">
        <v>83</v>
      </c>
      <c r="I98" s="45" t="s">
        <v>82</v>
      </c>
      <c r="J98" s="36" t="s">
        <v>7</v>
      </c>
      <c r="K98" s="59" t="s">
        <v>368</v>
      </c>
      <c r="L98" s="44" t="s">
        <v>179</v>
      </c>
      <c r="M98" s="39" t="s">
        <v>7</v>
      </c>
      <c r="N98" s="64"/>
      <c r="O98" s="41"/>
      <c r="P98" s="41"/>
      <c r="Q98" s="41"/>
      <c r="R98" s="41"/>
      <c r="S98" s="41"/>
      <c r="T98" s="41"/>
      <c r="U98" s="41"/>
      <c r="V98" s="41"/>
    </row>
    <row r="99" spans="1:22" x14ac:dyDescent="0.4">
      <c r="A99" s="86"/>
      <c r="B99" s="36">
        <v>67</v>
      </c>
      <c r="C99" s="37" t="s">
        <v>295</v>
      </c>
      <c r="D99" s="36" t="s">
        <v>57</v>
      </c>
      <c r="E99" s="36" t="s">
        <v>306</v>
      </c>
      <c r="F99" s="40"/>
      <c r="G99" s="38" t="s">
        <v>325</v>
      </c>
      <c r="H99" s="36" t="s">
        <v>83</v>
      </c>
      <c r="I99" s="36" t="s">
        <v>82</v>
      </c>
      <c r="J99" s="36" t="s">
        <v>7</v>
      </c>
      <c r="K99" s="59" t="s">
        <v>368</v>
      </c>
      <c r="L99" s="44" t="s">
        <v>179</v>
      </c>
      <c r="M99" s="39" t="s">
        <v>7</v>
      </c>
      <c r="N99" s="64"/>
      <c r="O99" s="41"/>
      <c r="P99" s="41"/>
      <c r="Q99" s="41"/>
      <c r="R99" s="41"/>
      <c r="S99" s="41"/>
      <c r="T99" s="41"/>
      <c r="U99" s="41"/>
      <c r="V99" s="41"/>
    </row>
    <row r="100" spans="1:22" x14ac:dyDescent="0.4">
      <c r="A100" s="86"/>
      <c r="B100" s="45">
        <v>68</v>
      </c>
      <c r="C100" s="37" t="s">
        <v>297</v>
      </c>
      <c r="D100" s="36" t="s">
        <v>57</v>
      </c>
      <c r="E100" s="36" t="s">
        <v>306</v>
      </c>
      <c r="F100" s="40"/>
      <c r="G100" s="46" t="s">
        <v>326</v>
      </c>
      <c r="H100" s="45" t="s">
        <v>83</v>
      </c>
      <c r="I100" s="45" t="s">
        <v>82</v>
      </c>
      <c r="J100" s="36" t="s">
        <v>7</v>
      </c>
      <c r="K100" s="59" t="s">
        <v>368</v>
      </c>
      <c r="L100" s="44" t="s">
        <v>179</v>
      </c>
      <c r="M100" s="39" t="s">
        <v>7</v>
      </c>
      <c r="N100" s="64"/>
      <c r="O100" s="41"/>
      <c r="P100" s="41"/>
      <c r="Q100" s="41"/>
      <c r="R100" s="41"/>
      <c r="S100" s="41"/>
      <c r="T100" s="41"/>
      <c r="U100" s="41"/>
      <c r="V100" s="41"/>
    </row>
    <row r="101" spans="1:22" x14ac:dyDescent="0.4">
      <c r="A101" s="86"/>
      <c r="B101" s="45">
        <v>70</v>
      </c>
      <c r="C101" s="37" t="s">
        <v>327</v>
      </c>
      <c r="D101" s="36" t="s">
        <v>57</v>
      </c>
      <c r="E101" s="36" t="s">
        <v>306</v>
      </c>
      <c r="F101" s="40"/>
      <c r="G101" s="46" t="s">
        <v>84</v>
      </c>
      <c r="H101" s="45" t="s">
        <v>83</v>
      </c>
      <c r="I101" s="45" t="s">
        <v>82</v>
      </c>
      <c r="J101" s="36" t="s">
        <v>7</v>
      </c>
      <c r="K101" s="59" t="s">
        <v>368</v>
      </c>
      <c r="L101" s="44" t="s">
        <v>179</v>
      </c>
      <c r="M101" s="39" t="s">
        <v>7</v>
      </c>
      <c r="N101" s="64"/>
      <c r="O101" s="41"/>
      <c r="P101" s="41"/>
      <c r="Q101" s="41"/>
      <c r="R101" s="41"/>
      <c r="S101" s="41"/>
      <c r="T101" s="41"/>
      <c r="U101" s="41"/>
      <c r="V101" s="41"/>
    </row>
    <row r="102" spans="1:22" x14ac:dyDescent="0.4">
      <c r="A102" s="86"/>
      <c r="B102" s="36">
        <v>71</v>
      </c>
      <c r="C102" s="37" t="s">
        <v>299</v>
      </c>
      <c r="D102" s="36" t="s">
        <v>57</v>
      </c>
      <c r="E102" s="36" t="s">
        <v>306</v>
      </c>
      <c r="F102" s="40"/>
      <c r="G102" s="38" t="s">
        <v>85</v>
      </c>
      <c r="H102" s="36" t="s">
        <v>83</v>
      </c>
      <c r="I102" s="36" t="s">
        <v>82</v>
      </c>
      <c r="J102" s="36" t="s">
        <v>7</v>
      </c>
      <c r="K102" s="59" t="s">
        <v>368</v>
      </c>
      <c r="L102" s="44" t="s">
        <v>179</v>
      </c>
      <c r="M102" s="39" t="s">
        <v>7</v>
      </c>
      <c r="N102" s="64"/>
      <c r="O102" s="41"/>
      <c r="P102" s="41"/>
      <c r="Q102" s="41"/>
      <c r="R102" s="41"/>
      <c r="S102" s="41"/>
      <c r="T102" s="41"/>
      <c r="U102" s="41"/>
      <c r="V102" s="41"/>
    </row>
    <row r="103" spans="1:22" x14ac:dyDescent="0.4">
      <c r="A103" s="86"/>
      <c r="B103" s="45">
        <v>72</v>
      </c>
      <c r="C103" s="37" t="s">
        <v>232</v>
      </c>
      <c r="D103" s="36" t="s">
        <v>57</v>
      </c>
      <c r="E103" s="36" t="s">
        <v>306</v>
      </c>
      <c r="F103" s="40"/>
      <c r="G103" s="46" t="s">
        <v>86</v>
      </c>
      <c r="H103" s="45" t="s">
        <v>83</v>
      </c>
      <c r="I103" s="45" t="s">
        <v>82</v>
      </c>
      <c r="J103" s="36" t="s">
        <v>7</v>
      </c>
      <c r="K103" s="59" t="s">
        <v>368</v>
      </c>
      <c r="L103" s="44" t="s">
        <v>179</v>
      </c>
      <c r="M103" s="39" t="s">
        <v>7</v>
      </c>
      <c r="N103" s="64"/>
      <c r="O103" s="41"/>
      <c r="P103" s="41"/>
      <c r="Q103" s="41"/>
      <c r="R103" s="41"/>
      <c r="S103" s="41"/>
      <c r="T103" s="41"/>
      <c r="U103" s="41"/>
      <c r="V103" s="41"/>
    </row>
    <row r="104" spans="1:22" x14ac:dyDescent="0.4">
      <c r="A104" s="86"/>
      <c r="B104" s="36">
        <v>73</v>
      </c>
      <c r="C104" s="37" t="s">
        <v>234</v>
      </c>
      <c r="D104" s="36" t="s">
        <v>57</v>
      </c>
      <c r="E104" s="36" t="s">
        <v>306</v>
      </c>
      <c r="F104" s="40"/>
      <c r="G104" s="38" t="s">
        <v>328</v>
      </c>
      <c r="H104" s="36" t="s">
        <v>83</v>
      </c>
      <c r="I104" s="36" t="s">
        <v>82</v>
      </c>
      <c r="J104" s="36" t="s">
        <v>7</v>
      </c>
      <c r="K104" s="59" t="s">
        <v>368</v>
      </c>
      <c r="L104" s="44" t="s">
        <v>179</v>
      </c>
      <c r="M104" s="39" t="s">
        <v>7</v>
      </c>
      <c r="N104" s="64"/>
      <c r="O104" s="41"/>
      <c r="P104" s="41"/>
      <c r="Q104" s="41"/>
      <c r="R104" s="41"/>
      <c r="S104" s="41"/>
      <c r="T104" s="41"/>
      <c r="U104" s="41"/>
      <c r="V104" s="41"/>
    </row>
    <row r="105" spans="1:22" x14ac:dyDescent="0.4">
      <c r="A105" s="86"/>
      <c r="B105" s="36">
        <v>74</v>
      </c>
      <c r="C105" s="37" t="s">
        <v>329</v>
      </c>
      <c r="D105" s="36" t="s">
        <v>57</v>
      </c>
      <c r="E105" s="36" t="s">
        <v>306</v>
      </c>
      <c r="F105" s="40"/>
      <c r="G105" s="46" t="s">
        <v>330</v>
      </c>
      <c r="H105" s="36" t="s">
        <v>83</v>
      </c>
      <c r="I105" s="36" t="s">
        <v>82</v>
      </c>
      <c r="J105" s="36" t="s">
        <v>7</v>
      </c>
      <c r="K105" s="59" t="s">
        <v>368</v>
      </c>
      <c r="L105" s="44" t="s">
        <v>179</v>
      </c>
      <c r="M105" s="39"/>
      <c r="N105" s="64"/>
      <c r="O105" s="41"/>
      <c r="P105" s="41"/>
      <c r="Q105" s="41"/>
      <c r="R105" s="41"/>
      <c r="S105" s="41"/>
      <c r="T105" s="41"/>
      <c r="U105" s="41"/>
      <c r="V105" s="41"/>
    </row>
    <row r="106" spans="1:22" x14ac:dyDescent="0.4">
      <c r="A106" s="86"/>
      <c r="B106" s="36">
        <v>75</v>
      </c>
      <c r="C106" s="37" t="s">
        <v>331</v>
      </c>
      <c r="D106" s="36" t="s">
        <v>57</v>
      </c>
      <c r="E106" s="36" t="s">
        <v>306</v>
      </c>
      <c r="F106" s="40"/>
      <c r="G106" s="38" t="s">
        <v>332</v>
      </c>
      <c r="H106" s="36" t="s">
        <v>83</v>
      </c>
      <c r="I106" s="36" t="s">
        <v>82</v>
      </c>
      <c r="J106" s="36" t="s">
        <v>7</v>
      </c>
      <c r="K106" s="59" t="s">
        <v>368</v>
      </c>
      <c r="L106" s="44" t="s">
        <v>179</v>
      </c>
      <c r="M106" s="39"/>
      <c r="N106" s="64"/>
      <c r="O106" s="41"/>
      <c r="P106" s="41"/>
      <c r="Q106" s="41"/>
      <c r="R106" s="41"/>
      <c r="S106" s="41"/>
      <c r="T106" s="41"/>
      <c r="U106" s="41"/>
      <c r="V106" s="41"/>
    </row>
    <row r="107" spans="1:22" x14ac:dyDescent="0.4">
      <c r="A107" s="86"/>
      <c r="B107" s="36">
        <v>76</v>
      </c>
      <c r="C107" s="37" t="s">
        <v>333</v>
      </c>
      <c r="D107" s="36" t="s">
        <v>57</v>
      </c>
      <c r="E107" s="36" t="s">
        <v>306</v>
      </c>
      <c r="F107" s="40"/>
      <c r="G107" s="46" t="s">
        <v>334</v>
      </c>
      <c r="H107" s="36" t="s">
        <v>83</v>
      </c>
      <c r="I107" s="36" t="s">
        <v>82</v>
      </c>
      <c r="J107" s="36" t="s">
        <v>7</v>
      </c>
      <c r="K107" s="59" t="s">
        <v>368</v>
      </c>
      <c r="L107" s="44" t="s">
        <v>179</v>
      </c>
      <c r="M107" s="39"/>
      <c r="N107" s="64"/>
      <c r="O107" s="41"/>
      <c r="P107" s="41"/>
      <c r="Q107" s="41"/>
      <c r="R107" s="41"/>
      <c r="S107" s="41"/>
      <c r="T107" s="41"/>
      <c r="U107" s="41"/>
      <c r="V107" s="41"/>
    </row>
    <row r="108" spans="1:22" x14ac:dyDescent="0.4">
      <c r="A108" s="86"/>
      <c r="B108" s="36">
        <v>77</v>
      </c>
      <c r="C108" s="37" t="s">
        <v>335</v>
      </c>
      <c r="D108" s="36" t="s">
        <v>57</v>
      </c>
      <c r="E108" s="36" t="s">
        <v>306</v>
      </c>
      <c r="F108" s="40"/>
      <c r="G108" s="38" t="s">
        <v>336</v>
      </c>
      <c r="H108" s="36" t="s">
        <v>83</v>
      </c>
      <c r="I108" s="36" t="s">
        <v>82</v>
      </c>
      <c r="J108" s="36" t="s">
        <v>7</v>
      </c>
      <c r="K108" s="59" t="s">
        <v>368</v>
      </c>
      <c r="L108" s="44" t="s">
        <v>179</v>
      </c>
      <c r="M108" s="39"/>
      <c r="N108" s="64"/>
      <c r="O108" s="41"/>
      <c r="P108" s="41"/>
      <c r="Q108" s="41"/>
      <c r="R108" s="41"/>
      <c r="S108" s="41"/>
      <c r="T108" s="41"/>
      <c r="U108" s="41"/>
      <c r="V108" s="41"/>
    </row>
    <row r="109" spans="1:22" x14ac:dyDescent="0.4">
      <c r="A109" s="86"/>
      <c r="B109" s="45">
        <v>141</v>
      </c>
      <c r="C109" s="37" t="s">
        <v>319</v>
      </c>
      <c r="D109" s="36" t="s">
        <v>57</v>
      </c>
      <c r="E109" s="36" t="s">
        <v>267</v>
      </c>
      <c r="F109" s="36" t="s">
        <v>7</v>
      </c>
      <c r="G109" s="38" t="s">
        <v>338</v>
      </c>
      <c r="H109" s="36" t="s">
        <v>83</v>
      </c>
      <c r="I109" s="36" t="s">
        <v>10</v>
      </c>
      <c r="J109" s="40" t="s">
        <v>7</v>
      </c>
      <c r="K109" s="59" t="s">
        <v>368</v>
      </c>
      <c r="L109" s="44" t="s">
        <v>179</v>
      </c>
      <c r="M109" s="39" t="s">
        <v>7</v>
      </c>
      <c r="N109" s="64"/>
      <c r="O109" s="41"/>
      <c r="P109" s="41"/>
      <c r="Q109" s="41"/>
      <c r="R109" s="41"/>
      <c r="S109" s="41"/>
      <c r="T109" s="41"/>
      <c r="U109" s="41"/>
      <c r="V109" s="41"/>
    </row>
    <row r="110" spans="1:22" x14ac:dyDescent="0.4">
      <c r="A110" s="86"/>
      <c r="B110" s="45">
        <v>150</v>
      </c>
      <c r="C110" s="37" t="s">
        <v>261</v>
      </c>
      <c r="D110" s="36" t="s">
        <v>57</v>
      </c>
      <c r="E110" s="36" t="s">
        <v>267</v>
      </c>
      <c r="F110" s="36" t="s">
        <v>7</v>
      </c>
      <c r="G110" s="38" t="s">
        <v>339</v>
      </c>
      <c r="H110" s="36" t="s">
        <v>83</v>
      </c>
      <c r="I110" s="36" t="s">
        <v>10</v>
      </c>
      <c r="J110" s="40" t="s">
        <v>7</v>
      </c>
      <c r="K110" s="59" t="s">
        <v>368</v>
      </c>
      <c r="L110" s="44" t="s">
        <v>179</v>
      </c>
      <c r="M110" s="39" t="s">
        <v>7</v>
      </c>
      <c r="N110" s="64"/>
      <c r="O110" s="41"/>
      <c r="P110" s="41"/>
      <c r="Q110" s="41"/>
      <c r="R110" s="41"/>
      <c r="S110" s="41"/>
      <c r="T110" s="41"/>
      <c r="U110" s="41"/>
      <c r="V110" s="41"/>
    </row>
    <row r="111" spans="1:22" x14ac:dyDescent="0.4">
      <c r="A111" s="86"/>
      <c r="B111" s="36">
        <v>151</v>
      </c>
      <c r="C111" s="36" t="s">
        <v>262</v>
      </c>
      <c r="D111" s="36" t="s">
        <v>57</v>
      </c>
      <c r="E111" s="36" t="s">
        <v>267</v>
      </c>
      <c r="F111" s="36" t="s">
        <v>7</v>
      </c>
      <c r="G111" s="38" t="s">
        <v>340</v>
      </c>
      <c r="H111" s="36" t="s">
        <v>83</v>
      </c>
      <c r="I111" s="36" t="s">
        <v>10</v>
      </c>
      <c r="J111" s="40" t="s">
        <v>7</v>
      </c>
      <c r="K111" s="59" t="s">
        <v>368</v>
      </c>
      <c r="L111" s="44" t="s">
        <v>179</v>
      </c>
      <c r="M111" s="42" t="s">
        <v>7</v>
      </c>
      <c r="N111" s="64"/>
      <c r="O111" s="28"/>
      <c r="P111" s="28"/>
      <c r="Q111" s="28"/>
      <c r="R111" s="28"/>
      <c r="S111" s="28"/>
      <c r="T111" s="28"/>
      <c r="U111" s="28"/>
      <c r="V111" s="28"/>
    </row>
    <row r="112" spans="1:22" x14ac:dyDescent="0.4">
      <c r="A112" s="86"/>
      <c r="B112" s="36">
        <v>152</v>
      </c>
      <c r="C112" s="36" t="s">
        <v>263</v>
      </c>
      <c r="D112" s="36" t="s">
        <v>57</v>
      </c>
      <c r="E112" s="36" t="s">
        <v>267</v>
      </c>
      <c r="F112" s="36" t="s">
        <v>7</v>
      </c>
      <c r="G112" s="38" t="s">
        <v>341</v>
      </c>
      <c r="H112" s="36" t="s">
        <v>83</v>
      </c>
      <c r="I112" s="36" t="s">
        <v>10</v>
      </c>
      <c r="J112" s="40" t="s">
        <v>7</v>
      </c>
      <c r="K112" s="59" t="s">
        <v>368</v>
      </c>
      <c r="L112" s="44" t="s">
        <v>179</v>
      </c>
      <c r="M112" s="51" t="s">
        <v>7</v>
      </c>
      <c r="N112" s="64"/>
      <c r="O112" s="28"/>
      <c r="P112" s="28"/>
      <c r="Q112" s="28"/>
      <c r="R112" s="28"/>
      <c r="S112" s="28"/>
      <c r="T112" s="28"/>
      <c r="U112" s="28"/>
      <c r="V112" s="28"/>
    </row>
    <row r="113" spans="1:22" x14ac:dyDescent="0.4">
      <c r="A113" s="86"/>
      <c r="B113" s="36">
        <v>153</v>
      </c>
      <c r="C113" s="36" t="s">
        <v>265</v>
      </c>
      <c r="D113" s="36" t="s">
        <v>57</v>
      </c>
      <c r="E113" s="36" t="s">
        <v>267</v>
      </c>
      <c r="F113" s="36" t="s">
        <v>7</v>
      </c>
      <c r="G113" s="38" t="s">
        <v>342</v>
      </c>
      <c r="H113" s="36" t="s">
        <v>83</v>
      </c>
      <c r="I113" s="36" t="s">
        <v>10</v>
      </c>
      <c r="J113" s="40" t="s">
        <v>7</v>
      </c>
      <c r="K113" s="59" t="s">
        <v>368</v>
      </c>
      <c r="L113" s="44" t="s">
        <v>179</v>
      </c>
      <c r="M113" s="51" t="s">
        <v>7</v>
      </c>
      <c r="N113" s="64"/>
      <c r="O113" s="28"/>
      <c r="P113" s="28"/>
      <c r="Q113" s="28"/>
      <c r="R113" s="28"/>
      <c r="S113" s="28"/>
      <c r="T113" s="28"/>
      <c r="U113" s="28"/>
      <c r="V113" s="28"/>
    </row>
    <row r="114" spans="1:22" ht="76.5" x14ac:dyDescent="0.4">
      <c r="A114" s="86"/>
      <c r="B114" s="45">
        <v>154</v>
      </c>
      <c r="C114" s="37" t="s">
        <v>343</v>
      </c>
      <c r="D114" s="36" t="s">
        <v>57</v>
      </c>
      <c r="E114" s="36" t="s">
        <v>267</v>
      </c>
      <c r="F114" s="36" t="s">
        <v>7</v>
      </c>
      <c r="G114" s="38" t="s">
        <v>344</v>
      </c>
      <c r="H114" s="36" t="s">
        <v>83</v>
      </c>
      <c r="I114" s="36" t="s">
        <v>10</v>
      </c>
      <c r="J114" s="40" t="s">
        <v>7</v>
      </c>
      <c r="K114" s="59" t="s">
        <v>391</v>
      </c>
      <c r="L114" s="44" t="s">
        <v>179</v>
      </c>
      <c r="M114" s="39" t="s">
        <v>7</v>
      </c>
      <c r="N114" s="64"/>
      <c r="O114" s="41"/>
      <c r="P114" s="41"/>
      <c r="Q114" s="41"/>
      <c r="R114" s="41"/>
      <c r="S114" s="41"/>
      <c r="T114" s="41"/>
      <c r="U114" s="41"/>
      <c r="V114" s="41"/>
    </row>
    <row r="115" spans="1:22" ht="63.75" x14ac:dyDescent="0.4">
      <c r="A115" s="86"/>
      <c r="B115" s="36">
        <v>155</v>
      </c>
      <c r="C115" s="37" t="s">
        <v>345</v>
      </c>
      <c r="D115" s="36" t="s">
        <v>57</v>
      </c>
      <c r="E115" s="36" t="s">
        <v>267</v>
      </c>
      <c r="F115" s="36" t="s">
        <v>7</v>
      </c>
      <c r="G115" s="38" t="s">
        <v>346</v>
      </c>
      <c r="H115" s="36" t="s">
        <v>83</v>
      </c>
      <c r="I115" s="36" t="s">
        <v>10</v>
      </c>
      <c r="J115" s="40" t="s">
        <v>7</v>
      </c>
      <c r="K115" s="59" t="s">
        <v>392</v>
      </c>
      <c r="L115" s="44" t="s">
        <v>179</v>
      </c>
      <c r="M115" s="39" t="s">
        <v>7</v>
      </c>
      <c r="N115" s="64"/>
      <c r="O115" s="41"/>
      <c r="P115" s="41"/>
      <c r="Q115" s="41"/>
      <c r="R115" s="41"/>
      <c r="S115" s="41"/>
      <c r="T115" s="41"/>
      <c r="U115" s="41"/>
      <c r="V115" s="41"/>
    </row>
    <row r="116" spans="1:22" ht="76.5" x14ac:dyDescent="0.4">
      <c r="A116" s="86"/>
      <c r="B116" s="36">
        <v>156</v>
      </c>
      <c r="C116" s="37" t="s">
        <v>347</v>
      </c>
      <c r="D116" s="36" t="s">
        <v>57</v>
      </c>
      <c r="E116" s="36" t="s">
        <v>267</v>
      </c>
      <c r="F116" s="36" t="s">
        <v>7</v>
      </c>
      <c r="G116" s="38" t="s">
        <v>348</v>
      </c>
      <c r="H116" s="36" t="s">
        <v>83</v>
      </c>
      <c r="I116" s="36" t="s">
        <v>10</v>
      </c>
      <c r="J116" s="40" t="s">
        <v>7</v>
      </c>
      <c r="K116" s="59" t="s">
        <v>393</v>
      </c>
      <c r="L116" s="44" t="s">
        <v>179</v>
      </c>
      <c r="M116" s="39" t="s">
        <v>7</v>
      </c>
      <c r="N116" s="64"/>
      <c r="O116" s="41"/>
      <c r="P116" s="41"/>
      <c r="Q116" s="41"/>
      <c r="R116" s="41"/>
      <c r="S116" s="41"/>
      <c r="T116" s="41"/>
      <c r="U116" s="41"/>
      <c r="V116" s="41"/>
    </row>
    <row r="117" spans="1:22" ht="76.5" x14ac:dyDescent="0.4">
      <c r="A117" s="86"/>
      <c r="B117" s="36">
        <v>157</v>
      </c>
      <c r="C117" s="37" t="s">
        <v>349</v>
      </c>
      <c r="D117" s="36" t="s">
        <v>57</v>
      </c>
      <c r="E117" s="36" t="s">
        <v>267</v>
      </c>
      <c r="F117" s="36" t="s">
        <v>7</v>
      </c>
      <c r="G117" s="38" t="s">
        <v>350</v>
      </c>
      <c r="H117" s="36" t="s">
        <v>83</v>
      </c>
      <c r="I117" s="36" t="s">
        <v>10</v>
      </c>
      <c r="J117" s="40" t="s">
        <v>7</v>
      </c>
      <c r="K117" s="59" t="s">
        <v>397</v>
      </c>
      <c r="L117" s="44" t="s">
        <v>179</v>
      </c>
      <c r="M117" s="39" t="s">
        <v>7</v>
      </c>
      <c r="N117" s="64"/>
      <c r="O117" s="41"/>
      <c r="P117" s="41"/>
      <c r="Q117" s="41"/>
      <c r="R117" s="41"/>
      <c r="S117" s="41"/>
      <c r="T117" s="41"/>
      <c r="U117" s="41"/>
      <c r="V117" s="41"/>
    </row>
    <row r="118" spans="1:22" x14ac:dyDescent="0.4">
      <c r="A118" s="75" t="s">
        <v>87</v>
      </c>
      <c r="B118" s="36">
        <v>2</v>
      </c>
      <c r="C118" s="37" t="s">
        <v>178</v>
      </c>
      <c r="D118" s="36"/>
      <c r="E118" s="36"/>
      <c r="F118" s="40"/>
      <c r="G118" s="38" t="s">
        <v>88</v>
      </c>
      <c r="H118" s="36" t="s">
        <v>7</v>
      </c>
      <c r="I118" s="36" t="s">
        <v>89</v>
      </c>
      <c r="J118" s="40"/>
      <c r="K118" s="59"/>
      <c r="L118" s="44" t="s">
        <v>179</v>
      </c>
      <c r="M118" s="39" t="s">
        <v>7</v>
      </c>
      <c r="N118" s="64"/>
      <c r="O118" s="41"/>
      <c r="P118" s="41"/>
      <c r="Q118" s="41"/>
      <c r="R118" s="41"/>
      <c r="S118" s="41"/>
      <c r="T118" s="41"/>
      <c r="U118" s="41"/>
      <c r="V118" s="41"/>
    </row>
    <row r="119" spans="1:22" x14ac:dyDescent="0.4">
      <c r="A119" s="76"/>
      <c r="B119" s="60">
        <v>16</v>
      </c>
      <c r="C119" s="60" t="s">
        <v>90</v>
      </c>
      <c r="D119" s="60"/>
      <c r="E119" s="60"/>
      <c r="F119" s="72"/>
      <c r="G119" s="73" t="s">
        <v>91</v>
      </c>
      <c r="H119" s="60" t="s">
        <v>7</v>
      </c>
      <c r="I119" s="60" t="s">
        <v>7</v>
      </c>
      <c r="J119" s="72"/>
      <c r="K119" s="59"/>
      <c r="L119" s="44" t="s">
        <v>179</v>
      </c>
      <c r="M119" s="39" t="s">
        <v>7</v>
      </c>
      <c r="N119" s="64"/>
      <c r="O119" s="65"/>
      <c r="P119" s="65"/>
      <c r="Q119" s="65"/>
      <c r="R119" s="65"/>
      <c r="S119" s="65"/>
      <c r="T119" s="65"/>
      <c r="U119" s="65"/>
      <c r="V119" s="65"/>
    </row>
    <row r="120" spans="1:22" x14ac:dyDescent="0.4">
      <c r="A120" s="76"/>
      <c r="B120" s="60">
        <v>17</v>
      </c>
      <c r="C120" s="60" t="s">
        <v>92</v>
      </c>
      <c r="D120" s="60"/>
      <c r="E120" s="60"/>
      <c r="F120" s="72"/>
      <c r="G120" s="73" t="s">
        <v>93</v>
      </c>
      <c r="H120" s="60" t="s">
        <v>7</v>
      </c>
      <c r="I120" s="60" t="s">
        <v>7</v>
      </c>
      <c r="J120" s="72"/>
      <c r="K120" s="59"/>
      <c r="L120" s="44" t="s">
        <v>179</v>
      </c>
      <c r="M120" s="39" t="s">
        <v>7</v>
      </c>
      <c r="N120" s="64"/>
      <c r="O120" s="65"/>
      <c r="P120" s="65"/>
      <c r="Q120" s="65"/>
      <c r="R120" s="65"/>
      <c r="S120" s="65"/>
      <c r="T120" s="65"/>
      <c r="U120" s="65"/>
      <c r="V120" s="65"/>
    </row>
    <row r="121" spans="1:22" x14ac:dyDescent="0.4">
      <c r="A121" s="77"/>
      <c r="B121" s="45">
        <v>88</v>
      </c>
      <c r="C121" s="37" t="s">
        <v>337</v>
      </c>
      <c r="D121" s="45"/>
      <c r="E121" s="45"/>
      <c r="F121" s="40"/>
      <c r="G121" s="46" t="s">
        <v>94</v>
      </c>
      <c r="H121" s="45" t="s">
        <v>9</v>
      </c>
      <c r="I121" s="45" t="s">
        <v>95</v>
      </c>
      <c r="J121" s="40"/>
      <c r="K121" s="59"/>
      <c r="L121" s="44" t="s">
        <v>179</v>
      </c>
      <c r="M121" s="39" t="s">
        <v>7</v>
      </c>
      <c r="N121" s="64"/>
      <c r="O121" s="41"/>
      <c r="P121" s="41"/>
      <c r="Q121" s="41"/>
      <c r="R121" s="41"/>
      <c r="S121" s="41"/>
      <c r="T121" s="41"/>
      <c r="U121" s="41"/>
      <c r="V121" s="41"/>
    </row>
    <row r="122" spans="1:22" x14ac:dyDescent="0.4">
      <c r="A122" s="78" t="s">
        <v>43</v>
      </c>
      <c r="B122" s="81" t="s">
        <v>351</v>
      </c>
      <c r="C122" s="82"/>
      <c r="D122" s="82"/>
      <c r="E122" s="82"/>
      <c r="F122" s="83"/>
      <c r="G122" s="38" t="s">
        <v>352</v>
      </c>
      <c r="H122" s="36" t="s">
        <v>7</v>
      </c>
      <c r="I122" s="36" t="s">
        <v>7</v>
      </c>
      <c r="J122" s="36" t="s">
        <v>7</v>
      </c>
      <c r="K122" s="59" t="s">
        <v>398</v>
      </c>
      <c r="L122" s="44" t="s">
        <v>179</v>
      </c>
      <c r="M122" s="39" t="s">
        <v>7</v>
      </c>
      <c r="N122" s="64"/>
      <c r="O122" s="41"/>
      <c r="P122" s="41"/>
      <c r="Q122" s="41"/>
      <c r="R122" s="41"/>
      <c r="S122" s="41"/>
      <c r="T122" s="41"/>
      <c r="U122" s="41"/>
      <c r="V122" s="41"/>
    </row>
    <row r="123" spans="1:22" x14ac:dyDescent="0.4">
      <c r="A123" s="79"/>
      <c r="B123" s="81" t="s">
        <v>353</v>
      </c>
      <c r="C123" s="82"/>
      <c r="D123" s="82"/>
      <c r="E123" s="82"/>
      <c r="F123" s="83"/>
      <c r="G123" s="38" t="s">
        <v>97</v>
      </c>
      <c r="H123" s="36" t="s">
        <v>43</v>
      </c>
      <c r="I123" s="36" t="s">
        <v>7</v>
      </c>
      <c r="J123" s="36" t="s">
        <v>7</v>
      </c>
      <c r="K123" s="59" t="s">
        <v>394</v>
      </c>
      <c r="L123" s="44" t="s">
        <v>179</v>
      </c>
      <c r="M123" s="39" t="s">
        <v>7</v>
      </c>
      <c r="N123" s="64"/>
      <c r="O123" s="41"/>
      <c r="P123" s="41"/>
      <c r="Q123" s="41"/>
      <c r="R123" s="41"/>
      <c r="S123" s="41"/>
      <c r="T123" s="41"/>
      <c r="U123" s="41"/>
      <c r="V123" s="41"/>
    </row>
    <row r="124" spans="1:22" ht="25.5" x14ac:dyDescent="0.4">
      <c r="A124" s="80"/>
      <c r="B124" s="81" t="s">
        <v>354</v>
      </c>
      <c r="C124" s="82"/>
      <c r="D124" s="82"/>
      <c r="E124" s="82"/>
      <c r="F124" s="83"/>
      <c r="G124" s="38" t="s">
        <v>96</v>
      </c>
      <c r="H124" s="36" t="s">
        <v>7</v>
      </c>
      <c r="I124" s="36" t="s">
        <v>7</v>
      </c>
      <c r="J124" s="36" t="s">
        <v>7</v>
      </c>
      <c r="K124" s="59" t="s">
        <v>395</v>
      </c>
      <c r="L124" s="44" t="s">
        <v>179</v>
      </c>
      <c r="M124" s="39" t="s">
        <v>7</v>
      </c>
      <c r="N124" s="64"/>
      <c r="O124" s="41"/>
      <c r="P124" s="41"/>
      <c r="Q124" s="41"/>
      <c r="R124" s="41"/>
      <c r="S124" s="41"/>
      <c r="T124" s="41"/>
      <c r="U124" s="41"/>
      <c r="V124" s="41"/>
    </row>
    <row r="125" spans="1:22" x14ac:dyDescent="0.4">
      <c r="A125" s="41"/>
      <c r="B125" s="57"/>
      <c r="C125" s="57"/>
      <c r="D125" s="57"/>
      <c r="E125" s="57"/>
      <c r="F125" s="57"/>
      <c r="G125" s="58"/>
      <c r="H125" s="57"/>
      <c r="I125" s="57"/>
      <c r="J125" s="57"/>
      <c r="K125" s="58"/>
      <c r="L125" s="57"/>
      <c r="M125" s="58"/>
      <c r="N125" s="69"/>
      <c r="O125" s="41"/>
      <c r="P125" s="41"/>
      <c r="Q125" s="41"/>
      <c r="R125" s="41"/>
      <c r="S125" s="41"/>
      <c r="T125" s="41"/>
      <c r="U125" s="41"/>
      <c r="V125" s="41"/>
    </row>
    <row r="126" spans="1:22" x14ac:dyDescent="0.4">
      <c r="A126" s="41"/>
      <c r="B126" s="57"/>
      <c r="C126" s="57"/>
      <c r="D126" s="57"/>
      <c r="E126" s="57"/>
      <c r="F126" s="57"/>
      <c r="G126" s="58"/>
      <c r="H126" s="57"/>
      <c r="I126" s="57"/>
      <c r="J126" s="57"/>
      <c r="K126" s="58"/>
      <c r="L126" s="57"/>
      <c r="M126" s="58"/>
      <c r="N126" s="69"/>
      <c r="O126" s="41"/>
      <c r="P126" s="41"/>
      <c r="Q126" s="41"/>
      <c r="R126" s="41"/>
      <c r="S126" s="41"/>
      <c r="T126" s="41"/>
      <c r="U126" s="41"/>
      <c r="V126" s="41"/>
    </row>
    <row r="127" spans="1:22" x14ac:dyDescent="0.4">
      <c r="A127" s="41"/>
      <c r="B127" s="57"/>
      <c r="C127" s="57"/>
      <c r="D127" s="57"/>
      <c r="E127" s="57"/>
      <c r="F127" s="57"/>
      <c r="G127" s="58"/>
      <c r="H127" s="57"/>
      <c r="I127" s="57"/>
      <c r="J127" s="57"/>
      <c r="K127" s="58"/>
      <c r="L127" s="57"/>
      <c r="M127" s="58"/>
      <c r="N127" s="69"/>
      <c r="O127" s="41"/>
      <c r="P127" s="41"/>
      <c r="Q127" s="41"/>
      <c r="R127" s="41"/>
      <c r="S127" s="41"/>
      <c r="T127" s="41"/>
      <c r="U127" s="41"/>
      <c r="V127" s="41"/>
    </row>
    <row r="128" spans="1:22" x14ac:dyDescent="0.4">
      <c r="A128" s="41"/>
      <c r="B128" s="57"/>
      <c r="C128" s="57"/>
      <c r="D128" s="57"/>
      <c r="E128" s="57"/>
      <c r="F128" s="57"/>
      <c r="G128" s="58"/>
      <c r="H128" s="57"/>
      <c r="I128" s="57"/>
      <c r="J128" s="57"/>
      <c r="K128" s="58"/>
      <c r="L128" s="57"/>
      <c r="M128" s="58"/>
      <c r="N128" s="69"/>
      <c r="O128" s="41"/>
      <c r="P128" s="41"/>
      <c r="Q128" s="41"/>
      <c r="R128" s="41"/>
      <c r="S128" s="41"/>
      <c r="T128" s="41"/>
      <c r="U128" s="41"/>
      <c r="V128" s="41"/>
    </row>
    <row r="129" spans="1:22" x14ac:dyDescent="0.4">
      <c r="A129" s="41"/>
      <c r="B129" s="57"/>
      <c r="C129" s="57"/>
      <c r="D129" s="57"/>
      <c r="E129" s="57"/>
      <c r="F129" s="57"/>
      <c r="G129" s="58"/>
      <c r="H129" s="57"/>
      <c r="I129" s="57"/>
      <c r="J129" s="57"/>
      <c r="K129" s="58"/>
      <c r="L129" s="57"/>
      <c r="M129" s="58"/>
      <c r="N129" s="69"/>
      <c r="O129" s="41"/>
      <c r="P129" s="41"/>
      <c r="Q129" s="41"/>
      <c r="R129" s="41"/>
      <c r="S129" s="41"/>
      <c r="T129" s="41"/>
      <c r="U129" s="41"/>
      <c r="V129" s="41"/>
    </row>
    <row r="130" spans="1:22" x14ac:dyDescent="0.4">
      <c r="A130" s="41"/>
      <c r="B130" s="57"/>
      <c r="C130" s="57"/>
      <c r="D130" s="57"/>
      <c r="E130" s="57"/>
      <c r="F130" s="57"/>
      <c r="G130" s="58"/>
      <c r="H130" s="57"/>
      <c r="I130" s="57"/>
      <c r="J130" s="57"/>
      <c r="K130" s="58"/>
      <c r="L130" s="57"/>
      <c r="M130" s="58"/>
      <c r="N130" s="69"/>
      <c r="O130" s="41"/>
      <c r="P130" s="41"/>
      <c r="Q130" s="41"/>
      <c r="R130" s="41"/>
      <c r="S130" s="41"/>
      <c r="T130" s="41"/>
      <c r="U130" s="41"/>
      <c r="V130" s="41"/>
    </row>
    <row r="131" spans="1:22" x14ac:dyDescent="0.4">
      <c r="A131" s="41"/>
      <c r="B131" s="57"/>
      <c r="C131" s="57"/>
      <c r="D131" s="57"/>
      <c r="E131" s="57"/>
      <c r="F131" s="57"/>
      <c r="G131" s="58"/>
      <c r="H131" s="57"/>
      <c r="I131" s="57"/>
      <c r="J131" s="57"/>
      <c r="K131" s="58"/>
      <c r="L131" s="57"/>
      <c r="M131" s="58"/>
      <c r="N131" s="69"/>
      <c r="O131" s="41"/>
      <c r="P131" s="41"/>
      <c r="Q131" s="41"/>
      <c r="R131" s="41"/>
      <c r="S131" s="41"/>
      <c r="T131" s="41"/>
      <c r="U131" s="41"/>
      <c r="V131" s="41"/>
    </row>
    <row r="132" spans="1:22" x14ac:dyDescent="0.4">
      <c r="A132" s="41"/>
      <c r="B132" s="57"/>
      <c r="C132" s="57"/>
      <c r="D132" s="57"/>
      <c r="E132" s="57"/>
      <c r="F132" s="57"/>
      <c r="G132" s="58"/>
      <c r="H132" s="57"/>
      <c r="I132" s="57"/>
      <c r="J132" s="57"/>
      <c r="K132" s="58"/>
      <c r="L132" s="57"/>
      <c r="M132" s="58"/>
      <c r="N132" s="69"/>
      <c r="O132" s="41"/>
      <c r="P132" s="41"/>
      <c r="Q132" s="41"/>
      <c r="R132" s="41"/>
      <c r="S132" s="41"/>
      <c r="T132" s="41"/>
      <c r="U132" s="41"/>
      <c r="V132" s="41"/>
    </row>
    <row r="133" spans="1:22" x14ac:dyDescent="0.4">
      <c r="A133" s="41"/>
      <c r="B133" s="57"/>
      <c r="C133" s="57"/>
      <c r="D133" s="57"/>
      <c r="E133" s="57"/>
      <c r="F133" s="57"/>
      <c r="G133" s="58"/>
      <c r="H133" s="57"/>
      <c r="I133" s="57"/>
      <c r="J133" s="57"/>
      <c r="K133" s="58"/>
      <c r="L133" s="57"/>
      <c r="M133" s="58"/>
      <c r="N133" s="69"/>
      <c r="O133" s="41"/>
      <c r="P133" s="41"/>
      <c r="Q133" s="41"/>
      <c r="R133" s="41"/>
      <c r="S133" s="41"/>
      <c r="T133" s="41"/>
      <c r="U133" s="41"/>
      <c r="V133" s="41"/>
    </row>
    <row r="134" spans="1:22" x14ac:dyDescent="0.4">
      <c r="A134" s="41"/>
      <c r="B134" s="57"/>
      <c r="C134" s="57"/>
      <c r="D134" s="57"/>
      <c r="E134" s="57"/>
      <c r="F134" s="57"/>
      <c r="G134" s="58"/>
      <c r="H134" s="57"/>
      <c r="I134" s="57"/>
      <c r="J134" s="57"/>
      <c r="K134" s="58"/>
      <c r="L134" s="57"/>
      <c r="M134" s="58"/>
      <c r="N134" s="70"/>
      <c r="O134" s="41"/>
      <c r="P134" s="41"/>
      <c r="Q134" s="41"/>
      <c r="R134" s="41"/>
      <c r="S134" s="41"/>
      <c r="T134" s="41"/>
      <c r="U134" s="41"/>
      <c r="V134" s="41"/>
    </row>
    <row r="135" spans="1:22" x14ac:dyDescent="0.4">
      <c r="A135" s="41"/>
      <c r="B135" s="57"/>
      <c r="C135" s="57"/>
      <c r="D135" s="57"/>
      <c r="E135" s="57"/>
      <c r="F135" s="57"/>
      <c r="G135" s="58"/>
      <c r="H135" s="57"/>
      <c r="I135" s="57"/>
      <c r="J135" s="57"/>
      <c r="K135" s="58"/>
      <c r="L135" s="57"/>
      <c r="M135" s="58"/>
      <c r="N135" s="70"/>
      <c r="O135" s="41"/>
      <c r="P135" s="41"/>
      <c r="Q135" s="41"/>
      <c r="R135" s="41"/>
      <c r="S135" s="41"/>
      <c r="T135" s="41"/>
      <c r="U135" s="41"/>
      <c r="V135" s="41"/>
    </row>
    <row r="136" spans="1:22" x14ac:dyDescent="0.4">
      <c r="A136" s="41"/>
      <c r="B136" s="57"/>
      <c r="C136" s="57"/>
      <c r="D136" s="57"/>
      <c r="E136" s="57"/>
      <c r="F136" s="57"/>
      <c r="G136" s="58"/>
      <c r="H136" s="57"/>
      <c r="I136" s="57"/>
      <c r="J136" s="57"/>
      <c r="K136" s="58"/>
      <c r="L136" s="57"/>
      <c r="M136" s="58"/>
      <c r="N136" s="70"/>
      <c r="O136" s="41"/>
      <c r="P136" s="41"/>
      <c r="Q136" s="41"/>
      <c r="R136" s="41"/>
      <c r="S136" s="41"/>
      <c r="T136" s="41"/>
      <c r="U136" s="41"/>
      <c r="V136" s="41"/>
    </row>
    <row r="137" spans="1:22" x14ac:dyDescent="0.4">
      <c r="A137" s="41"/>
      <c r="B137" s="57"/>
      <c r="C137" s="57"/>
      <c r="D137" s="57"/>
      <c r="E137" s="57"/>
      <c r="F137" s="57"/>
      <c r="G137" s="58"/>
      <c r="H137" s="57"/>
      <c r="I137" s="57"/>
      <c r="J137" s="57"/>
      <c r="K137" s="58"/>
      <c r="L137" s="57"/>
      <c r="M137" s="58"/>
      <c r="N137" s="70"/>
      <c r="O137" s="41"/>
      <c r="P137" s="41"/>
      <c r="Q137" s="41"/>
      <c r="R137" s="41"/>
      <c r="S137" s="41"/>
      <c r="T137" s="41"/>
      <c r="U137" s="41"/>
      <c r="V137" s="41"/>
    </row>
    <row r="138" spans="1:22" x14ac:dyDescent="0.4">
      <c r="A138" s="41"/>
      <c r="B138" s="57"/>
      <c r="C138" s="57"/>
      <c r="D138" s="57"/>
      <c r="E138" s="57"/>
      <c r="F138" s="57"/>
      <c r="G138" s="58"/>
      <c r="H138" s="57"/>
      <c r="I138" s="57"/>
      <c r="J138" s="57"/>
      <c r="K138" s="58"/>
      <c r="L138" s="57"/>
      <c r="M138" s="58"/>
      <c r="N138" s="70"/>
      <c r="O138" s="41"/>
      <c r="P138" s="41"/>
      <c r="Q138" s="41"/>
      <c r="R138" s="41"/>
      <c r="S138" s="41"/>
      <c r="T138" s="41"/>
      <c r="U138" s="41"/>
      <c r="V138" s="41"/>
    </row>
    <row r="139" spans="1:22" x14ac:dyDescent="0.4">
      <c r="A139" s="41"/>
      <c r="B139" s="57"/>
      <c r="C139" s="57"/>
      <c r="D139" s="57"/>
      <c r="E139" s="57"/>
      <c r="F139" s="57"/>
      <c r="G139" s="58"/>
      <c r="H139" s="57"/>
      <c r="I139" s="57"/>
      <c r="J139" s="57"/>
      <c r="K139" s="58"/>
      <c r="L139" s="57"/>
      <c r="M139" s="58"/>
      <c r="N139" s="70"/>
      <c r="O139" s="41"/>
      <c r="P139" s="41"/>
      <c r="Q139" s="41"/>
      <c r="R139" s="41"/>
      <c r="S139" s="41"/>
      <c r="T139" s="41"/>
      <c r="U139" s="41"/>
      <c r="V139" s="41"/>
    </row>
    <row r="140" spans="1:22" x14ac:dyDescent="0.4">
      <c r="A140" s="41"/>
      <c r="B140" s="57"/>
      <c r="C140" s="57"/>
      <c r="D140" s="57"/>
      <c r="E140" s="57"/>
      <c r="F140" s="57"/>
      <c r="G140" s="58"/>
      <c r="H140" s="57"/>
      <c r="I140" s="57"/>
      <c r="J140" s="57"/>
      <c r="K140" s="58"/>
      <c r="L140" s="57"/>
      <c r="M140" s="58"/>
      <c r="N140" s="70"/>
      <c r="O140" s="41"/>
      <c r="P140" s="41"/>
      <c r="Q140" s="41"/>
      <c r="R140" s="41"/>
      <c r="S140" s="41"/>
      <c r="T140" s="41"/>
      <c r="U140" s="41"/>
      <c r="V140" s="41"/>
    </row>
    <row r="141" spans="1:22" x14ac:dyDescent="0.4">
      <c r="A141" s="41"/>
      <c r="B141" s="57"/>
      <c r="C141" s="57"/>
      <c r="D141" s="57"/>
      <c r="E141" s="57"/>
      <c r="F141" s="57"/>
      <c r="G141" s="58"/>
      <c r="H141" s="57"/>
      <c r="I141" s="57"/>
      <c r="J141" s="57"/>
      <c r="K141" s="58"/>
      <c r="L141" s="57"/>
      <c r="M141" s="58"/>
      <c r="N141" s="70"/>
      <c r="O141" s="41"/>
      <c r="P141" s="41"/>
      <c r="Q141" s="41"/>
      <c r="R141" s="41"/>
      <c r="S141" s="41"/>
      <c r="T141" s="41"/>
      <c r="U141" s="41"/>
      <c r="V141" s="41"/>
    </row>
    <row r="142" spans="1:22" x14ac:dyDescent="0.4">
      <c r="A142" s="41"/>
      <c r="B142" s="57"/>
      <c r="C142" s="57"/>
      <c r="D142" s="57"/>
      <c r="E142" s="57"/>
      <c r="F142" s="57"/>
      <c r="G142" s="58"/>
      <c r="H142" s="57"/>
      <c r="I142" s="57"/>
      <c r="J142" s="57"/>
      <c r="K142" s="58"/>
      <c r="L142" s="57"/>
      <c r="M142" s="58"/>
      <c r="N142" s="70"/>
      <c r="O142" s="41"/>
      <c r="P142" s="41"/>
      <c r="Q142" s="41"/>
      <c r="R142" s="41"/>
      <c r="S142" s="41"/>
      <c r="T142" s="41"/>
      <c r="U142" s="41"/>
      <c r="V142" s="41"/>
    </row>
    <row r="143" spans="1:22" x14ac:dyDescent="0.4">
      <c r="A143" s="41"/>
      <c r="B143" s="57"/>
      <c r="C143" s="57"/>
      <c r="D143" s="57"/>
      <c r="E143" s="57"/>
      <c r="F143" s="57"/>
      <c r="G143" s="58"/>
      <c r="H143" s="57"/>
      <c r="I143" s="57"/>
      <c r="J143" s="57"/>
      <c r="K143" s="58"/>
      <c r="L143" s="57"/>
      <c r="M143" s="58"/>
      <c r="N143" s="70"/>
      <c r="O143" s="41"/>
      <c r="P143" s="41"/>
      <c r="Q143" s="41"/>
      <c r="R143" s="41"/>
      <c r="S143" s="41"/>
      <c r="T143" s="41"/>
      <c r="U143" s="41"/>
      <c r="V143" s="41"/>
    </row>
    <row r="144" spans="1:22" x14ac:dyDescent="0.4">
      <c r="A144" s="41"/>
      <c r="B144" s="57"/>
      <c r="C144" s="57"/>
      <c r="D144" s="57"/>
      <c r="E144" s="57"/>
      <c r="F144" s="57"/>
      <c r="G144" s="58"/>
      <c r="H144" s="57"/>
      <c r="I144" s="57"/>
      <c r="J144" s="57"/>
      <c r="K144" s="58"/>
      <c r="L144" s="57"/>
      <c r="M144" s="58"/>
      <c r="N144" s="70"/>
      <c r="O144" s="41"/>
      <c r="P144" s="41"/>
      <c r="Q144" s="41"/>
      <c r="R144" s="41"/>
      <c r="S144" s="41"/>
      <c r="T144" s="41"/>
      <c r="U144" s="41"/>
      <c r="V144" s="41"/>
    </row>
    <row r="145" spans="1:22" x14ac:dyDescent="0.4">
      <c r="A145" s="41"/>
      <c r="B145" s="57"/>
      <c r="C145" s="57"/>
      <c r="D145" s="57"/>
      <c r="E145" s="57"/>
      <c r="F145" s="57"/>
      <c r="G145" s="58"/>
      <c r="H145" s="57"/>
      <c r="I145" s="57"/>
      <c r="J145" s="57"/>
      <c r="K145" s="58"/>
      <c r="L145" s="57"/>
      <c r="M145" s="58"/>
      <c r="N145" s="70"/>
      <c r="O145" s="41"/>
      <c r="P145" s="41"/>
      <c r="Q145" s="41"/>
      <c r="R145" s="41"/>
      <c r="S145" s="41"/>
      <c r="T145" s="41"/>
      <c r="U145" s="41"/>
      <c r="V145" s="41"/>
    </row>
    <row r="146" spans="1:22" x14ac:dyDescent="0.4">
      <c r="A146" s="41"/>
      <c r="B146" s="57"/>
      <c r="C146" s="57"/>
      <c r="D146" s="57"/>
      <c r="E146" s="57"/>
      <c r="F146" s="57"/>
      <c r="G146" s="58"/>
      <c r="H146" s="57"/>
      <c r="I146" s="57"/>
      <c r="J146" s="57"/>
      <c r="K146" s="58"/>
      <c r="L146" s="57"/>
      <c r="M146" s="58"/>
      <c r="N146" s="70"/>
      <c r="O146" s="41"/>
      <c r="P146" s="41"/>
      <c r="Q146" s="41"/>
      <c r="R146" s="41"/>
      <c r="S146" s="41"/>
      <c r="T146" s="41"/>
      <c r="U146" s="41"/>
      <c r="V146" s="41"/>
    </row>
    <row r="147" spans="1:22" x14ac:dyDescent="0.4">
      <c r="A147" s="41"/>
      <c r="B147" s="57"/>
      <c r="C147" s="57"/>
      <c r="D147" s="57"/>
      <c r="E147" s="57"/>
      <c r="F147" s="57"/>
      <c r="G147" s="58"/>
      <c r="H147" s="57"/>
      <c r="I147" s="57"/>
      <c r="J147" s="57"/>
      <c r="K147" s="58"/>
      <c r="L147" s="57"/>
      <c r="M147" s="58"/>
      <c r="N147" s="70"/>
      <c r="O147" s="41"/>
      <c r="P147" s="41"/>
      <c r="Q147" s="41"/>
      <c r="R147" s="41"/>
      <c r="S147" s="41"/>
      <c r="T147" s="41"/>
      <c r="U147" s="41"/>
      <c r="V147" s="41"/>
    </row>
    <row r="148" spans="1:22" x14ac:dyDescent="0.4">
      <c r="A148" s="41"/>
      <c r="B148" s="57"/>
      <c r="C148" s="57"/>
      <c r="D148" s="57"/>
      <c r="E148" s="57"/>
      <c r="F148" s="57"/>
      <c r="G148" s="58"/>
      <c r="H148" s="57"/>
      <c r="I148" s="57"/>
      <c r="J148" s="57"/>
      <c r="K148" s="58"/>
      <c r="L148" s="57"/>
      <c r="M148" s="58"/>
      <c r="N148" s="70"/>
      <c r="O148" s="41"/>
      <c r="P148" s="41"/>
      <c r="Q148" s="41"/>
      <c r="R148" s="41"/>
      <c r="S148" s="41"/>
      <c r="T148" s="41"/>
      <c r="U148" s="41"/>
      <c r="V148" s="41"/>
    </row>
    <row r="149" spans="1:22" x14ac:dyDescent="0.4">
      <c r="A149" s="41"/>
      <c r="B149" s="57"/>
      <c r="C149" s="57"/>
      <c r="D149" s="57"/>
      <c r="E149" s="57"/>
      <c r="F149" s="57"/>
      <c r="G149" s="58"/>
      <c r="H149" s="57"/>
      <c r="I149" s="57"/>
      <c r="J149" s="57"/>
      <c r="K149" s="58"/>
      <c r="L149" s="57"/>
      <c r="M149" s="58"/>
      <c r="N149" s="70"/>
      <c r="O149" s="41"/>
      <c r="P149" s="41"/>
      <c r="Q149" s="41"/>
      <c r="R149" s="41"/>
      <c r="S149" s="41"/>
      <c r="T149" s="41"/>
      <c r="U149" s="41"/>
      <c r="V149" s="41"/>
    </row>
    <row r="150" spans="1:22" x14ac:dyDescent="0.4">
      <c r="A150" s="41"/>
      <c r="B150" s="57"/>
      <c r="C150" s="57"/>
      <c r="D150" s="57"/>
      <c r="E150" s="57"/>
      <c r="F150" s="57"/>
      <c r="G150" s="58"/>
      <c r="H150" s="57"/>
      <c r="I150" s="57"/>
      <c r="J150" s="57"/>
      <c r="K150" s="58"/>
      <c r="L150" s="57"/>
      <c r="M150" s="58"/>
      <c r="N150" s="70"/>
      <c r="O150" s="41"/>
      <c r="P150" s="41"/>
      <c r="Q150" s="41"/>
      <c r="R150" s="41"/>
      <c r="S150" s="41"/>
      <c r="T150" s="41"/>
      <c r="U150" s="41"/>
      <c r="V150" s="41"/>
    </row>
    <row r="151" spans="1:22" x14ac:dyDescent="0.4">
      <c r="A151" s="41"/>
      <c r="B151" s="57"/>
      <c r="C151" s="57"/>
      <c r="D151" s="57"/>
      <c r="E151" s="57"/>
      <c r="F151" s="57"/>
      <c r="G151" s="58"/>
      <c r="H151" s="57"/>
      <c r="I151" s="57"/>
      <c r="J151" s="57"/>
      <c r="K151" s="58"/>
      <c r="L151" s="57"/>
      <c r="M151" s="58"/>
      <c r="N151" s="70"/>
      <c r="O151" s="41"/>
      <c r="P151" s="41"/>
      <c r="Q151" s="41"/>
      <c r="R151" s="41"/>
      <c r="S151" s="41"/>
      <c r="T151" s="41"/>
      <c r="U151" s="41"/>
      <c r="V151" s="41"/>
    </row>
    <row r="152" spans="1:22" x14ac:dyDescent="0.4">
      <c r="A152" s="41"/>
      <c r="B152" s="57"/>
      <c r="C152" s="57"/>
      <c r="D152" s="57"/>
      <c r="E152" s="57"/>
      <c r="F152" s="57"/>
      <c r="G152" s="58"/>
      <c r="H152" s="57"/>
      <c r="I152" s="57"/>
      <c r="J152" s="57"/>
      <c r="K152" s="58"/>
      <c r="L152" s="57"/>
      <c r="M152" s="58"/>
      <c r="N152" s="70"/>
      <c r="O152" s="41"/>
      <c r="P152" s="41"/>
      <c r="Q152" s="41"/>
      <c r="R152" s="41"/>
      <c r="S152" s="41"/>
      <c r="T152" s="41"/>
      <c r="U152" s="41"/>
      <c r="V152" s="41"/>
    </row>
    <row r="153" spans="1:22" x14ac:dyDescent="0.4">
      <c r="A153" s="41"/>
      <c r="B153" s="57"/>
      <c r="C153" s="57"/>
      <c r="D153" s="57"/>
      <c r="E153" s="57"/>
      <c r="F153" s="57"/>
      <c r="G153" s="58"/>
      <c r="H153" s="57"/>
      <c r="I153" s="57"/>
      <c r="J153" s="57"/>
      <c r="K153" s="58"/>
      <c r="L153" s="57"/>
      <c r="M153" s="58"/>
      <c r="N153" s="70"/>
      <c r="O153" s="41"/>
      <c r="P153" s="41"/>
      <c r="Q153" s="41"/>
      <c r="R153" s="41"/>
      <c r="S153" s="41"/>
      <c r="T153" s="41"/>
      <c r="U153" s="41"/>
      <c r="V153" s="41"/>
    </row>
    <row r="154" spans="1:22" x14ac:dyDescent="0.4">
      <c r="A154" s="41"/>
      <c r="B154" s="57"/>
      <c r="C154" s="57"/>
      <c r="D154" s="57"/>
      <c r="E154" s="57"/>
      <c r="F154" s="57"/>
      <c r="G154" s="58"/>
      <c r="H154" s="57"/>
      <c r="I154" s="57"/>
      <c r="J154" s="57"/>
      <c r="K154" s="58"/>
      <c r="L154" s="57"/>
      <c r="M154" s="58"/>
      <c r="N154" s="70"/>
      <c r="O154" s="41"/>
      <c r="P154" s="41"/>
      <c r="Q154" s="41"/>
      <c r="R154" s="41"/>
      <c r="S154" s="41"/>
      <c r="T154" s="41"/>
      <c r="U154" s="41"/>
      <c r="V154" s="41"/>
    </row>
    <row r="155" spans="1:22" x14ac:dyDescent="0.4">
      <c r="A155" s="41"/>
      <c r="B155" s="57"/>
      <c r="C155" s="57"/>
      <c r="D155" s="57"/>
      <c r="E155" s="57"/>
      <c r="F155" s="57"/>
      <c r="G155" s="58"/>
      <c r="H155" s="57"/>
      <c r="I155" s="57"/>
      <c r="J155" s="57"/>
      <c r="K155" s="58"/>
      <c r="L155" s="57"/>
      <c r="M155" s="58"/>
      <c r="N155" s="70"/>
      <c r="O155" s="41"/>
      <c r="P155" s="41"/>
      <c r="Q155" s="41"/>
      <c r="R155" s="41"/>
      <c r="S155" s="41"/>
      <c r="T155" s="41"/>
      <c r="U155" s="41"/>
      <c r="V155" s="41"/>
    </row>
    <row r="156" spans="1:22" x14ac:dyDescent="0.4">
      <c r="A156" s="41"/>
      <c r="B156" s="57"/>
      <c r="C156" s="57"/>
      <c r="D156" s="57"/>
      <c r="E156" s="57"/>
      <c r="F156" s="57"/>
      <c r="G156" s="58"/>
      <c r="H156" s="57"/>
      <c r="I156" s="57"/>
      <c r="J156" s="57"/>
      <c r="K156" s="58"/>
      <c r="L156" s="57"/>
      <c r="M156" s="58"/>
      <c r="N156" s="70"/>
      <c r="O156" s="41"/>
      <c r="P156" s="41"/>
      <c r="Q156" s="41"/>
      <c r="R156" s="41"/>
      <c r="S156" s="41"/>
      <c r="T156" s="41"/>
      <c r="U156" s="41"/>
      <c r="V156" s="41"/>
    </row>
    <row r="157" spans="1:22" x14ac:dyDescent="0.4">
      <c r="A157" s="41"/>
      <c r="B157" s="57"/>
      <c r="C157" s="57"/>
      <c r="D157" s="57"/>
      <c r="E157" s="57"/>
      <c r="F157" s="57"/>
      <c r="G157" s="58"/>
      <c r="H157" s="57"/>
      <c r="I157" s="57"/>
      <c r="J157" s="57"/>
      <c r="K157" s="58"/>
      <c r="L157" s="57"/>
      <c r="M157" s="58"/>
      <c r="N157" s="70"/>
      <c r="O157" s="41"/>
      <c r="P157" s="41"/>
      <c r="Q157" s="41"/>
      <c r="R157" s="41"/>
      <c r="S157" s="41"/>
      <c r="T157" s="41"/>
      <c r="U157" s="41"/>
      <c r="V157" s="41"/>
    </row>
    <row r="158" spans="1:22" x14ac:dyDescent="0.4">
      <c r="A158" s="41"/>
      <c r="B158" s="57"/>
      <c r="C158" s="57"/>
      <c r="D158" s="57"/>
      <c r="E158" s="57"/>
      <c r="F158" s="57"/>
      <c r="G158" s="58"/>
      <c r="H158" s="57"/>
      <c r="I158" s="57"/>
      <c r="J158" s="57"/>
      <c r="K158" s="58"/>
      <c r="L158" s="57"/>
      <c r="M158" s="58"/>
      <c r="N158" s="70"/>
      <c r="O158" s="41"/>
      <c r="P158" s="41"/>
      <c r="Q158" s="41"/>
      <c r="R158" s="41"/>
      <c r="S158" s="41"/>
      <c r="T158" s="41"/>
      <c r="U158" s="41"/>
      <c r="V158" s="41"/>
    </row>
    <row r="159" spans="1:22" x14ac:dyDescent="0.4">
      <c r="A159" s="41"/>
      <c r="B159" s="57"/>
      <c r="C159" s="57"/>
      <c r="D159" s="57"/>
      <c r="E159" s="57"/>
      <c r="F159" s="57"/>
      <c r="G159" s="58"/>
      <c r="H159" s="57"/>
      <c r="I159" s="57"/>
      <c r="J159" s="57"/>
      <c r="K159" s="58"/>
      <c r="L159" s="57"/>
      <c r="M159" s="58"/>
      <c r="N159" s="70"/>
      <c r="O159" s="41"/>
      <c r="P159" s="41"/>
      <c r="Q159" s="41"/>
      <c r="R159" s="41"/>
      <c r="S159" s="41"/>
      <c r="T159" s="41"/>
      <c r="U159" s="41"/>
      <c r="V159" s="41"/>
    </row>
    <row r="160" spans="1:22" x14ac:dyDescent="0.4">
      <c r="A160" s="41"/>
      <c r="B160" s="57"/>
      <c r="C160" s="57"/>
      <c r="D160" s="57"/>
      <c r="E160" s="57"/>
      <c r="F160" s="57"/>
      <c r="G160" s="58"/>
      <c r="H160" s="57"/>
      <c r="I160" s="57"/>
      <c r="J160" s="57"/>
      <c r="K160" s="58"/>
      <c r="L160" s="57"/>
      <c r="M160" s="58"/>
      <c r="N160" s="70"/>
      <c r="O160" s="41"/>
      <c r="P160" s="41"/>
      <c r="Q160" s="41"/>
      <c r="R160" s="41"/>
      <c r="S160" s="41"/>
      <c r="T160" s="41"/>
      <c r="U160" s="41"/>
      <c r="V160" s="41"/>
    </row>
    <row r="161" spans="1:22" x14ac:dyDescent="0.4">
      <c r="A161" s="41"/>
      <c r="B161" s="57"/>
      <c r="C161" s="57"/>
      <c r="D161" s="57"/>
      <c r="E161" s="57"/>
      <c r="F161" s="57"/>
      <c r="G161" s="58"/>
      <c r="H161" s="57"/>
      <c r="I161" s="57"/>
      <c r="J161" s="57"/>
      <c r="K161" s="58"/>
      <c r="L161" s="57"/>
      <c r="M161" s="58"/>
      <c r="N161" s="70"/>
      <c r="O161" s="41"/>
      <c r="P161" s="41"/>
      <c r="Q161" s="41"/>
      <c r="R161" s="41"/>
      <c r="S161" s="41"/>
      <c r="T161" s="41"/>
      <c r="U161" s="41"/>
      <c r="V161" s="41"/>
    </row>
    <row r="162" spans="1:22" x14ac:dyDescent="0.4">
      <c r="A162" s="41"/>
      <c r="B162" s="57"/>
      <c r="C162" s="57"/>
      <c r="D162" s="57"/>
      <c r="E162" s="57"/>
      <c r="F162" s="57"/>
      <c r="G162" s="58"/>
      <c r="H162" s="57"/>
      <c r="I162" s="57"/>
      <c r="J162" s="57"/>
      <c r="K162" s="58"/>
      <c r="L162" s="57"/>
      <c r="M162" s="58"/>
      <c r="N162" s="70"/>
      <c r="O162" s="41"/>
      <c r="P162" s="41"/>
      <c r="Q162" s="41"/>
      <c r="R162" s="41"/>
      <c r="S162" s="41"/>
      <c r="T162" s="41"/>
      <c r="U162" s="41"/>
      <c r="V162" s="41"/>
    </row>
    <row r="163" spans="1:22" x14ac:dyDescent="0.4">
      <c r="A163" s="41"/>
      <c r="B163" s="57"/>
      <c r="C163" s="57"/>
      <c r="D163" s="57"/>
      <c r="E163" s="57"/>
      <c r="F163" s="57"/>
      <c r="G163" s="58"/>
      <c r="H163" s="57"/>
      <c r="I163" s="57"/>
      <c r="J163" s="57"/>
      <c r="K163" s="58"/>
      <c r="L163" s="57"/>
      <c r="M163" s="58"/>
      <c r="N163" s="70"/>
      <c r="O163" s="41"/>
      <c r="P163" s="41"/>
      <c r="Q163" s="41"/>
      <c r="R163" s="41"/>
      <c r="S163" s="41"/>
      <c r="T163" s="41"/>
      <c r="U163" s="41"/>
      <c r="V163" s="41"/>
    </row>
    <row r="164" spans="1:22" x14ac:dyDescent="0.4">
      <c r="A164" s="41"/>
      <c r="B164" s="57"/>
      <c r="C164" s="57"/>
      <c r="D164" s="57"/>
      <c r="E164" s="57"/>
      <c r="F164" s="57"/>
      <c r="G164" s="58"/>
      <c r="H164" s="57"/>
      <c r="I164" s="57"/>
      <c r="J164" s="57"/>
      <c r="K164" s="58"/>
      <c r="L164" s="57"/>
      <c r="M164" s="58"/>
      <c r="N164" s="70"/>
      <c r="O164" s="41"/>
      <c r="P164" s="41"/>
      <c r="Q164" s="41"/>
      <c r="R164" s="41"/>
      <c r="S164" s="41"/>
      <c r="T164" s="41"/>
      <c r="U164" s="41"/>
      <c r="V164" s="41"/>
    </row>
    <row r="165" spans="1:22" x14ac:dyDescent="0.4">
      <c r="A165" s="41"/>
      <c r="B165" s="57"/>
      <c r="C165" s="57"/>
      <c r="D165" s="57"/>
      <c r="E165" s="57"/>
      <c r="F165" s="57"/>
      <c r="G165" s="58"/>
      <c r="H165" s="57"/>
      <c r="I165" s="57"/>
      <c r="J165" s="57"/>
      <c r="K165" s="58"/>
      <c r="L165" s="57"/>
      <c r="M165" s="58"/>
      <c r="N165" s="70"/>
      <c r="O165" s="41"/>
      <c r="P165" s="41"/>
      <c r="Q165" s="41"/>
      <c r="R165" s="41"/>
      <c r="S165" s="41"/>
      <c r="T165" s="41"/>
      <c r="U165" s="41"/>
      <c r="V165" s="41"/>
    </row>
    <row r="166" spans="1:22" x14ac:dyDescent="0.4">
      <c r="A166" s="41"/>
      <c r="B166" s="57"/>
      <c r="C166" s="57"/>
      <c r="D166" s="57"/>
      <c r="E166" s="57"/>
      <c r="F166" s="57"/>
      <c r="G166" s="58"/>
      <c r="H166" s="57"/>
      <c r="I166" s="57"/>
      <c r="J166" s="57"/>
      <c r="K166" s="58"/>
      <c r="L166" s="57"/>
      <c r="M166" s="58"/>
      <c r="N166" s="70"/>
      <c r="O166" s="41"/>
      <c r="P166" s="41"/>
      <c r="Q166" s="41"/>
      <c r="R166" s="41"/>
      <c r="S166" s="41"/>
      <c r="T166" s="41"/>
      <c r="U166" s="41"/>
      <c r="V166" s="41"/>
    </row>
    <row r="167" spans="1:22" x14ac:dyDescent="0.4">
      <c r="A167" s="41"/>
      <c r="B167" s="57"/>
      <c r="C167" s="57"/>
      <c r="D167" s="57"/>
      <c r="E167" s="57"/>
      <c r="F167" s="57"/>
      <c r="G167" s="58"/>
      <c r="H167" s="57"/>
      <c r="I167" s="57"/>
      <c r="J167" s="57"/>
      <c r="K167" s="58"/>
      <c r="L167" s="57"/>
      <c r="M167" s="58"/>
      <c r="N167" s="70"/>
      <c r="O167" s="41"/>
      <c r="P167" s="41"/>
      <c r="Q167" s="41"/>
      <c r="R167" s="41"/>
      <c r="S167" s="41"/>
      <c r="T167" s="41"/>
      <c r="U167" s="41"/>
      <c r="V167" s="41"/>
    </row>
    <row r="168" spans="1:22" x14ac:dyDescent="0.4">
      <c r="A168" s="41"/>
      <c r="B168" s="57"/>
      <c r="C168" s="57"/>
      <c r="D168" s="57"/>
      <c r="E168" s="57"/>
      <c r="F168" s="57"/>
      <c r="G168" s="58"/>
      <c r="H168" s="57"/>
      <c r="I168" s="57"/>
      <c r="J168" s="57"/>
      <c r="K168" s="58"/>
      <c r="L168" s="57"/>
      <c r="M168" s="58"/>
      <c r="N168" s="70"/>
      <c r="O168" s="41"/>
      <c r="P168" s="41"/>
      <c r="Q168" s="41"/>
      <c r="R168" s="41"/>
      <c r="S168" s="41"/>
      <c r="T168" s="41"/>
      <c r="U168" s="41"/>
      <c r="V168" s="41"/>
    </row>
    <row r="169" spans="1:22" x14ac:dyDescent="0.4">
      <c r="A169" s="41"/>
      <c r="B169" s="57"/>
      <c r="C169" s="57"/>
      <c r="D169" s="57"/>
      <c r="E169" s="57"/>
      <c r="F169" s="57"/>
      <c r="G169" s="58"/>
      <c r="H169" s="57"/>
      <c r="I169" s="57"/>
      <c r="J169" s="57"/>
      <c r="K169" s="58"/>
      <c r="L169" s="57"/>
      <c r="M169" s="58"/>
      <c r="N169" s="70"/>
      <c r="O169" s="41"/>
      <c r="P169" s="41"/>
      <c r="Q169" s="41"/>
      <c r="R169" s="41"/>
      <c r="S169" s="41"/>
      <c r="T169" s="41"/>
      <c r="U169" s="41"/>
      <c r="V169" s="41"/>
    </row>
    <row r="170" spans="1:22" x14ac:dyDescent="0.4">
      <c r="A170" s="41"/>
      <c r="B170" s="57"/>
      <c r="C170" s="57"/>
      <c r="D170" s="57"/>
      <c r="E170" s="57"/>
      <c r="F170" s="57"/>
      <c r="G170" s="58"/>
      <c r="H170" s="57"/>
      <c r="I170" s="57"/>
      <c r="J170" s="57"/>
      <c r="K170" s="58"/>
      <c r="L170" s="57"/>
      <c r="M170" s="58"/>
      <c r="N170" s="70"/>
      <c r="O170" s="41"/>
      <c r="P170" s="41"/>
      <c r="Q170" s="41"/>
      <c r="R170" s="41"/>
      <c r="S170" s="41"/>
      <c r="T170" s="41"/>
      <c r="U170" s="41"/>
      <c r="V170" s="41"/>
    </row>
    <row r="171" spans="1:22" x14ac:dyDescent="0.4">
      <c r="A171" s="41"/>
      <c r="B171" s="57"/>
      <c r="C171" s="57"/>
      <c r="D171" s="57"/>
      <c r="E171" s="57"/>
      <c r="F171" s="57"/>
      <c r="G171" s="58"/>
      <c r="H171" s="57"/>
      <c r="I171" s="57"/>
      <c r="J171" s="57"/>
      <c r="K171" s="58"/>
      <c r="L171" s="57"/>
      <c r="M171" s="58"/>
      <c r="N171" s="70"/>
      <c r="O171" s="41"/>
      <c r="P171" s="41"/>
      <c r="Q171" s="41"/>
      <c r="R171" s="41"/>
      <c r="S171" s="41"/>
      <c r="T171" s="41"/>
      <c r="U171" s="41"/>
      <c r="V171" s="41"/>
    </row>
    <row r="172" spans="1:22" x14ac:dyDescent="0.4">
      <c r="A172" s="41"/>
      <c r="B172" s="57"/>
      <c r="C172" s="57"/>
      <c r="D172" s="57"/>
      <c r="E172" s="57"/>
      <c r="F172" s="57"/>
      <c r="G172" s="58"/>
      <c r="H172" s="57"/>
      <c r="I172" s="57"/>
      <c r="J172" s="57"/>
      <c r="K172" s="58"/>
      <c r="L172" s="57"/>
      <c r="M172" s="58"/>
      <c r="N172" s="70"/>
      <c r="O172" s="41"/>
      <c r="P172" s="41"/>
      <c r="Q172" s="41"/>
      <c r="R172" s="41"/>
      <c r="S172" s="41"/>
      <c r="T172" s="41"/>
      <c r="U172" s="41"/>
      <c r="V172" s="41"/>
    </row>
    <row r="173" spans="1:22" x14ac:dyDescent="0.4">
      <c r="A173" s="41"/>
      <c r="B173" s="57"/>
      <c r="C173" s="57"/>
      <c r="D173" s="57"/>
      <c r="E173" s="57"/>
      <c r="F173" s="57"/>
      <c r="G173" s="58"/>
      <c r="H173" s="57"/>
      <c r="I173" s="57"/>
      <c r="J173" s="57"/>
      <c r="K173" s="58"/>
      <c r="L173" s="57"/>
      <c r="M173" s="58"/>
      <c r="N173" s="70"/>
      <c r="O173" s="41"/>
      <c r="P173" s="41"/>
      <c r="Q173" s="41"/>
      <c r="R173" s="41"/>
      <c r="S173" s="41"/>
      <c r="T173" s="41"/>
      <c r="U173" s="41"/>
      <c r="V173" s="41"/>
    </row>
    <row r="174" spans="1:22" x14ac:dyDescent="0.4">
      <c r="A174" s="41"/>
      <c r="B174" s="57"/>
      <c r="C174" s="57"/>
      <c r="D174" s="57"/>
      <c r="E174" s="57"/>
      <c r="F174" s="57"/>
      <c r="G174" s="58"/>
      <c r="H174" s="57"/>
      <c r="I174" s="57"/>
      <c r="J174" s="57"/>
      <c r="K174" s="58"/>
      <c r="L174" s="57"/>
      <c r="M174" s="58"/>
      <c r="N174" s="70"/>
      <c r="O174" s="41"/>
      <c r="P174" s="41"/>
      <c r="Q174" s="41"/>
      <c r="R174" s="41"/>
      <c r="S174" s="41"/>
      <c r="T174" s="41"/>
      <c r="U174" s="41"/>
      <c r="V174" s="41"/>
    </row>
    <row r="175" spans="1:22" x14ac:dyDescent="0.4">
      <c r="A175" s="41"/>
      <c r="B175" s="57"/>
      <c r="C175" s="57"/>
      <c r="D175" s="57"/>
      <c r="E175" s="57"/>
      <c r="F175" s="57"/>
      <c r="G175" s="58"/>
      <c r="H175" s="57"/>
      <c r="I175" s="57"/>
      <c r="J175" s="57"/>
      <c r="K175" s="58"/>
      <c r="L175" s="57"/>
      <c r="M175" s="58"/>
      <c r="N175" s="70"/>
      <c r="O175" s="41"/>
      <c r="P175" s="41"/>
      <c r="Q175" s="41"/>
      <c r="R175" s="41"/>
      <c r="S175" s="41"/>
      <c r="T175" s="41"/>
      <c r="U175" s="41"/>
      <c r="V175" s="41"/>
    </row>
    <row r="176" spans="1:22" x14ac:dyDescent="0.4">
      <c r="A176" s="41"/>
      <c r="B176" s="57"/>
      <c r="C176" s="57"/>
      <c r="D176" s="57"/>
      <c r="E176" s="57"/>
      <c r="F176" s="57"/>
      <c r="G176" s="58"/>
      <c r="H176" s="57"/>
      <c r="I176" s="57"/>
      <c r="J176" s="57"/>
      <c r="K176" s="58"/>
      <c r="L176" s="57"/>
      <c r="M176" s="58"/>
      <c r="N176" s="70"/>
      <c r="O176" s="41"/>
      <c r="P176" s="41"/>
      <c r="Q176" s="41"/>
      <c r="R176" s="41"/>
      <c r="S176" s="41"/>
      <c r="T176" s="41"/>
      <c r="U176" s="41"/>
      <c r="V176" s="41"/>
    </row>
    <row r="177" spans="1:22" x14ac:dyDescent="0.4">
      <c r="A177" s="41"/>
      <c r="B177" s="57"/>
      <c r="C177" s="57"/>
      <c r="D177" s="57"/>
      <c r="E177" s="57"/>
      <c r="F177" s="57"/>
      <c r="G177" s="58"/>
      <c r="H177" s="57"/>
      <c r="I177" s="57"/>
      <c r="J177" s="57"/>
      <c r="K177" s="58"/>
      <c r="L177" s="57"/>
      <c r="M177" s="58"/>
      <c r="N177" s="70"/>
      <c r="O177" s="41"/>
      <c r="P177" s="41"/>
      <c r="Q177" s="41"/>
      <c r="R177" s="41"/>
      <c r="S177" s="41"/>
      <c r="T177" s="41"/>
      <c r="U177" s="41"/>
      <c r="V177" s="41"/>
    </row>
    <row r="178" spans="1:22" x14ac:dyDescent="0.4">
      <c r="A178" s="41"/>
      <c r="B178" s="57"/>
      <c r="C178" s="57"/>
      <c r="D178" s="57"/>
      <c r="E178" s="57"/>
      <c r="F178" s="57"/>
      <c r="G178" s="58"/>
      <c r="H178" s="57"/>
      <c r="I178" s="57"/>
      <c r="J178" s="57"/>
      <c r="K178" s="58"/>
      <c r="L178" s="57"/>
      <c r="M178" s="58"/>
      <c r="N178" s="70"/>
      <c r="O178" s="41"/>
      <c r="P178" s="41"/>
      <c r="Q178" s="41"/>
      <c r="R178" s="41"/>
      <c r="S178" s="41"/>
      <c r="T178" s="41"/>
      <c r="U178" s="41"/>
      <c r="V178" s="41"/>
    </row>
    <row r="179" spans="1:22" x14ac:dyDescent="0.4">
      <c r="A179" s="41"/>
      <c r="B179" s="57"/>
      <c r="C179" s="57"/>
      <c r="D179" s="57"/>
      <c r="E179" s="57"/>
      <c r="F179" s="57"/>
      <c r="G179" s="58"/>
      <c r="H179" s="57"/>
      <c r="I179" s="57"/>
      <c r="J179" s="57"/>
      <c r="K179" s="58"/>
      <c r="L179" s="57"/>
      <c r="M179" s="58"/>
      <c r="N179" s="70"/>
      <c r="O179" s="41"/>
      <c r="P179" s="41"/>
      <c r="Q179" s="41"/>
      <c r="R179" s="41"/>
      <c r="S179" s="41"/>
      <c r="T179" s="41"/>
      <c r="U179" s="41"/>
      <c r="V179" s="41"/>
    </row>
    <row r="180" spans="1:22" x14ac:dyDescent="0.4">
      <c r="A180" s="41"/>
      <c r="B180" s="57"/>
      <c r="C180" s="57"/>
      <c r="D180" s="57"/>
      <c r="E180" s="57"/>
      <c r="F180" s="57"/>
      <c r="G180" s="58"/>
      <c r="H180" s="57"/>
      <c r="I180" s="57"/>
      <c r="J180" s="57"/>
      <c r="K180" s="58"/>
      <c r="L180" s="57"/>
      <c r="M180" s="58"/>
      <c r="N180" s="70"/>
      <c r="O180" s="41"/>
      <c r="P180" s="41"/>
      <c r="Q180" s="41"/>
      <c r="R180" s="41"/>
      <c r="S180" s="41"/>
      <c r="T180" s="41"/>
      <c r="U180" s="41"/>
      <c r="V180" s="41"/>
    </row>
    <row r="181" spans="1:22" x14ac:dyDescent="0.4">
      <c r="A181" s="41"/>
      <c r="B181" s="57"/>
      <c r="C181" s="57"/>
      <c r="D181" s="57"/>
      <c r="E181" s="57"/>
      <c r="F181" s="57"/>
      <c r="G181" s="58"/>
      <c r="H181" s="57"/>
      <c r="I181" s="57"/>
      <c r="J181" s="57"/>
      <c r="K181" s="58"/>
      <c r="L181" s="57"/>
      <c r="M181" s="58"/>
      <c r="N181" s="70"/>
      <c r="O181" s="41"/>
      <c r="P181" s="41"/>
      <c r="Q181" s="41"/>
      <c r="R181" s="41"/>
      <c r="S181" s="41"/>
      <c r="T181" s="41"/>
      <c r="U181" s="41"/>
      <c r="V181" s="41"/>
    </row>
    <row r="182" spans="1:22" x14ac:dyDescent="0.4">
      <c r="A182" s="41"/>
      <c r="B182" s="57"/>
      <c r="C182" s="57"/>
      <c r="D182" s="57"/>
      <c r="E182" s="57"/>
      <c r="F182" s="57"/>
      <c r="G182" s="58"/>
      <c r="H182" s="57"/>
      <c r="I182" s="57"/>
      <c r="J182" s="57"/>
      <c r="K182" s="58"/>
      <c r="L182" s="57"/>
      <c r="M182" s="58"/>
      <c r="N182" s="70"/>
      <c r="O182" s="41"/>
      <c r="P182" s="41"/>
      <c r="Q182" s="41"/>
      <c r="R182" s="41"/>
      <c r="S182" s="41"/>
      <c r="T182" s="41"/>
      <c r="U182" s="41"/>
      <c r="V182" s="41"/>
    </row>
    <row r="183" spans="1:22" x14ac:dyDescent="0.4">
      <c r="A183" s="41"/>
      <c r="B183" s="57"/>
      <c r="C183" s="57"/>
      <c r="D183" s="57"/>
      <c r="E183" s="57"/>
      <c r="F183" s="57"/>
      <c r="G183" s="58"/>
      <c r="H183" s="57"/>
      <c r="I183" s="57"/>
      <c r="J183" s="57"/>
      <c r="K183" s="58"/>
      <c r="L183" s="57"/>
      <c r="M183" s="58"/>
      <c r="N183" s="70"/>
      <c r="O183" s="41"/>
      <c r="P183" s="41"/>
      <c r="Q183" s="41"/>
      <c r="R183" s="41"/>
      <c r="S183" s="41"/>
      <c r="T183" s="41"/>
      <c r="U183" s="41"/>
      <c r="V183" s="41"/>
    </row>
    <row r="184" spans="1:22" x14ac:dyDescent="0.4">
      <c r="A184" s="41"/>
      <c r="B184" s="57"/>
      <c r="C184" s="57"/>
      <c r="D184" s="57"/>
      <c r="E184" s="57"/>
      <c r="F184" s="57"/>
      <c r="G184" s="58"/>
      <c r="H184" s="57"/>
      <c r="I184" s="57"/>
      <c r="J184" s="57"/>
      <c r="K184" s="58"/>
      <c r="L184" s="57"/>
      <c r="M184" s="58"/>
      <c r="N184" s="70"/>
      <c r="O184" s="41"/>
      <c r="P184" s="41"/>
      <c r="Q184" s="41"/>
      <c r="R184" s="41"/>
      <c r="S184" s="41"/>
      <c r="T184" s="41"/>
      <c r="U184" s="41"/>
      <c r="V184" s="41"/>
    </row>
    <row r="185" spans="1:22" x14ac:dyDescent="0.4">
      <c r="A185" s="41"/>
      <c r="B185" s="57"/>
      <c r="C185" s="57"/>
      <c r="D185" s="57"/>
      <c r="E185" s="57"/>
      <c r="F185" s="57"/>
      <c r="G185" s="58"/>
      <c r="H185" s="57"/>
      <c r="I185" s="57"/>
      <c r="J185" s="57"/>
      <c r="K185" s="58"/>
      <c r="L185" s="57"/>
      <c r="M185" s="58"/>
      <c r="N185" s="70"/>
      <c r="O185" s="41"/>
      <c r="P185" s="41"/>
      <c r="Q185" s="41"/>
      <c r="R185" s="41"/>
      <c r="S185" s="41"/>
      <c r="T185" s="41"/>
      <c r="U185" s="41"/>
      <c r="V185" s="41"/>
    </row>
    <row r="186" spans="1:22" x14ac:dyDescent="0.4">
      <c r="A186" s="41"/>
      <c r="B186" s="57"/>
      <c r="C186" s="57"/>
      <c r="D186" s="57"/>
      <c r="E186" s="57"/>
      <c r="F186" s="57"/>
      <c r="G186" s="58"/>
      <c r="H186" s="57"/>
      <c r="I186" s="57"/>
      <c r="J186" s="57"/>
      <c r="K186" s="58"/>
      <c r="L186" s="57"/>
      <c r="M186" s="58"/>
      <c r="N186" s="70"/>
      <c r="O186" s="41"/>
      <c r="P186" s="41"/>
      <c r="Q186" s="41"/>
      <c r="R186" s="41"/>
      <c r="S186" s="41"/>
      <c r="T186" s="41"/>
      <c r="U186" s="41"/>
      <c r="V186" s="41"/>
    </row>
    <row r="187" spans="1:22" x14ac:dyDescent="0.4">
      <c r="A187" s="41"/>
      <c r="B187" s="57"/>
      <c r="C187" s="57"/>
      <c r="D187" s="57"/>
      <c r="E187" s="57"/>
      <c r="F187" s="57"/>
      <c r="G187" s="58"/>
      <c r="H187" s="57"/>
      <c r="I187" s="57"/>
      <c r="J187" s="57"/>
      <c r="K187" s="58"/>
      <c r="L187" s="57"/>
      <c r="M187" s="58"/>
      <c r="N187" s="70"/>
      <c r="O187" s="41"/>
      <c r="P187" s="41"/>
      <c r="Q187" s="41"/>
      <c r="R187" s="41"/>
      <c r="S187" s="41"/>
      <c r="T187" s="41"/>
      <c r="U187" s="41"/>
      <c r="V187" s="41"/>
    </row>
    <row r="188" spans="1:22" x14ac:dyDescent="0.4">
      <c r="A188" s="41"/>
      <c r="B188" s="57"/>
      <c r="C188" s="57"/>
      <c r="D188" s="57"/>
      <c r="E188" s="57"/>
      <c r="F188" s="57"/>
      <c r="G188" s="58"/>
      <c r="H188" s="57"/>
      <c r="I188" s="57"/>
      <c r="J188" s="57"/>
      <c r="K188" s="58"/>
      <c r="L188" s="57"/>
      <c r="M188" s="58"/>
      <c r="N188" s="70"/>
      <c r="O188" s="41"/>
      <c r="P188" s="41"/>
      <c r="Q188" s="41"/>
      <c r="R188" s="41"/>
      <c r="S188" s="41"/>
      <c r="T188" s="41"/>
      <c r="U188" s="41"/>
      <c r="V188" s="41"/>
    </row>
    <row r="189" spans="1:22" x14ac:dyDescent="0.4">
      <c r="A189" s="41"/>
      <c r="B189" s="57"/>
      <c r="C189" s="57"/>
      <c r="D189" s="57"/>
      <c r="E189" s="57"/>
      <c r="F189" s="57"/>
      <c r="G189" s="58"/>
      <c r="H189" s="57"/>
      <c r="I189" s="57"/>
      <c r="J189" s="57"/>
      <c r="K189" s="58"/>
      <c r="L189" s="57"/>
      <c r="M189" s="58"/>
      <c r="N189" s="70"/>
      <c r="O189" s="41"/>
      <c r="P189" s="41"/>
      <c r="Q189" s="41"/>
      <c r="R189" s="41"/>
      <c r="S189" s="41"/>
      <c r="T189" s="41"/>
      <c r="U189" s="41"/>
      <c r="V189" s="41"/>
    </row>
    <row r="190" spans="1:22" x14ac:dyDescent="0.4">
      <c r="A190" s="41"/>
      <c r="B190" s="57"/>
      <c r="C190" s="57"/>
      <c r="D190" s="57"/>
      <c r="E190" s="57"/>
      <c r="F190" s="57"/>
      <c r="G190" s="58"/>
      <c r="H190" s="57"/>
      <c r="I190" s="57"/>
      <c r="J190" s="57"/>
      <c r="K190" s="58"/>
      <c r="L190" s="57"/>
      <c r="M190" s="58"/>
      <c r="N190" s="70"/>
      <c r="O190" s="41"/>
      <c r="P190" s="41"/>
      <c r="Q190" s="41"/>
      <c r="R190" s="41"/>
      <c r="S190" s="41"/>
      <c r="T190" s="41"/>
      <c r="U190" s="41"/>
      <c r="V190" s="41"/>
    </row>
  </sheetData>
  <mergeCells count="10">
    <mergeCell ref="A6:A60"/>
    <mergeCell ref="A61:A96"/>
    <mergeCell ref="L4:M4"/>
    <mergeCell ref="A1:M3"/>
    <mergeCell ref="A97:A117"/>
    <mergeCell ref="A118:A121"/>
    <mergeCell ref="A122:A124"/>
    <mergeCell ref="B122:F122"/>
    <mergeCell ref="B123:F123"/>
    <mergeCell ref="B124:F124"/>
  </mergeCells>
  <phoneticPr fontId="23" type="noConversion"/>
  <pageMargins left="0.7" right="0.7" top="0.75" bottom="0.75" header="0.3" footer="0.3"/>
  <pageSetup paperSize="9" scale="30"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7"/>
  <sheetViews>
    <sheetView topLeftCell="A24" zoomScale="150" zoomScaleNormal="150" workbookViewId="0">
      <selection activeCell="D4" sqref="D4"/>
    </sheetView>
  </sheetViews>
  <sheetFormatPr defaultColWidth="9" defaultRowHeight="13.9" x14ac:dyDescent="0.4"/>
  <cols>
    <col min="1" max="9" width="10.6640625" customWidth="1"/>
    <col min="10" max="10" width="15.46484375" customWidth="1"/>
  </cols>
  <sheetData>
    <row r="1" spans="1:8" x14ac:dyDescent="0.4">
      <c r="A1" s="15"/>
      <c r="C1" s="16"/>
    </row>
    <row r="2" spans="1:8" x14ac:dyDescent="0.4">
      <c r="A2" s="15"/>
      <c r="C2" s="16"/>
    </row>
    <row r="3" spans="1:8" x14ac:dyDescent="0.4">
      <c r="A3" s="15"/>
      <c r="C3" s="16"/>
    </row>
    <row r="4" spans="1:8" x14ac:dyDescent="0.4">
      <c r="C4" s="16"/>
    </row>
    <row r="6" spans="1:8" ht="14.25" customHeight="1" x14ac:dyDescent="0.4">
      <c r="B6" s="101" t="s">
        <v>98</v>
      </c>
      <c r="C6" s="101"/>
      <c r="D6" s="101"/>
      <c r="E6" s="107" t="s">
        <v>99</v>
      </c>
      <c r="F6" s="107"/>
      <c r="G6" s="107" t="s">
        <v>100</v>
      </c>
      <c r="H6" s="107"/>
    </row>
    <row r="7" spans="1:8" ht="14.25" customHeight="1" x14ac:dyDescent="0.4">
      <c r="B7" s="101"/>
      <c r="C7" s="101"/>
      <c r="D7" s="101"/>
      <c r="E7" s="104">
        <f>2^16</f>
        <v>65536</v>
      </c>
      <c r="F7" s="104"/>
      <c r="G7" s="104">
        <f>2^18</f>
        <v>262144</v>
      </c>
      <c r="H7" s="104"/>
    </row>
    <row r="8" spans="1:8" s="5" customFormat="1" x14ac:dyDescent="0.4">
      <c r="B8" s="102" t="s">
        <v>101</v>
      </c>
      <c r="C8" s="4" t="s">
        <v>16</v>
      </c>
      <c r="D8" s="4" t="s">
        <v>102</v>
      </c>
      <c r="E8" s="17" t="s">
        <v>103</v>
      </c>
      <c r="F8" s="17" t="s">
        <v>104</v>
      </c>
      <c r="G8" s="17" t="s">
        <v>103</v>
      </c>
      <c r="H8" s="17" t="s">
        <v>104</v>
      </c>
    </row>
    <row r="9" spans="1:8" s="5" customFormat="1" ht="14.25" customHeight="1" x14ac:dyDescent="0.4">
      <c r="B9" s="102"/>
      <c r="C9" s="103">
        <v>58000</v>
      </c>
      <c r="D9" s="4">
        <v>51</v>
      </c>
      <c r="E9" s="18">
        <f>$C$9*360/$E$7/$D9</f>
        <v>6.2471277573529402</v>
      </c>
      <c r="F9" s="18">
        <f>$C$9*2*3.14/$E$7/$D9</f>
        <v>0.10897767310049</v>
      </c>
      <c r="G9" s="106">
        <f>$C9*360/$G7</f>
        <v>79.65087890625</v>
      </c>
      <c r="H9" s="106">
        <f>$C9*2*3.14/$G7</f>
        <v>1.38946533203125</v>
      </c>
    </row>
    <row r="10" spans="1:8" s="5" customFormat="1" ht="14.25" customHeight="1" x14ac:dyDescent="0.4">
      <c r="B10" s="102"/>
      <c r="C10" s="104"/>
      <c r="D10" s="4">
        <v>81</v>
      </c>
      <c r="E10" s="18">
        <f t="shared" ref="E10:E13" si="0">$C$9*360/$E$7/$D10</f>
        <v>3.9333767361111098</v>
      </c>
      <c r="F10" s="18">
        <f t="shared" ref="F10:F13" si="1">$C$9*2*3.14/$E$7/$D10</f>
        <v>6.8615571952160503E-2</v>
      </c>
      <c r="G10" s="106"/>
      <c r="H10" s="106"/>
    </row>
    <row r="11" spans="1:8" s="5" customFormat="1" ht="14.25" customHeight="1" x14ac:dyDescent="0.4">
      <c r="B11" s="102"/>
      <c r="C11" s="104"/>
      <c r="D11" s="4">
        <v>101</v>
      </c>
      <c r="E11" s="18">
        <f t="shared" si="0"/>
        <v>3.1544902537128698</v>
      </c>
      <c r="F11" s="18">
        <f t="shared" si="1"/>
        <v>5.50283299814356E-2</v>
      </c>
      <c r="G11" s="106"/>
      <c r="H11" s="106"/>
    </row>
    <row r="12" spans="1:8" s="5" customFormat="1" ht="14.25" customHeight="1" x14ac:dyDescent="0.4">
      <c r="B12" s="102"/>
      <c r="C12" s="104"/>
      <c r="D12" s="4">
        <v>121</v>
      </c>
      <c r="E12" s="18">
        <f t="shared" si="0"/>
        <v>2.6330869059917399</v>
      </c>
      <c r="F12" s="18">
        <f t="shared" si="1"/>
        <v>4.5932738248966903E-2</v>
      </c>
      <c r="G12" s="106"/>
      <c r="H12" s="106"/>
    </row>
    <row r="13" spans="1:8" s="5" customFormat="1" ht="14.25" customHeight="1" x14ac:dyDescent="0.4">
      <c r="B13" s="102"/>
      <c r="C13" s="104"/>
      <c r="D13" s="4">
        <v>161</v>
      </c>
      <c r="E13" s="18">
        <f t="shared" si="0"/>
        <v>1.9789038237577601</v>
      </c>
      <c r="F13" s="18">
        <f t="shared" si="1"/>
        <v>3.4520877814440999E-2</v>
      </c>
      <c r="G13" s="106"/>
      <c r="H13" s="106"/>
    </row>
    <row r="14" spans="1:8" s="5" customFormat="1" ht="14.1" customHeight="1" x14ac:dyDescent="0.4">
      <c r="B14" s="102" t="s">
        <v>101</v>
      </c>
      <c r="C14" s="17" t="s">
        <v>103</v>
      </c>
      <c r="D14" s="4" t="s">
        <v>102</v>
      </c>
      <c r="E14" s="107" t="s">
        <v>105</v>
      </c>
      <c r="F14" s="107"/>
      <c r="G14" s="107" t="s">
        <v>106</v>
      </c>
      <c r="H14" s="107"/>
    </row>
    <row r="15" spans="1:8" s="5" customFormat="1" ht="14.1" customHeight="1" x14ac:dyDescent="0.4">
      <c r="B15" s="102"/>
      <c r="C15" s="103">
        <v>360</v>
      </c>
      <c r="D15" s="4">
        <v>51</v>
      </c>
      <c r="E15" s="100">
        <f>($C$15/360)*$D15*$E$7</f>
        <v>3342336</v>
      </c>
      <c r="F15" s="100"/>
      <c r="G15" s="100">
        <f>($C$15/360)*$G$7</f>
        <v>262144</v>
      </c>
      <c r="H15" s="100"/>
    </row>
    <row r="16" spans="1:8" s="5" customFormat="1" ht="14.1" customHeight="1" x14ac:dyDescent="0.4">
      <c r="B16" s="102"/>
      <c r="C16" s="103"/>
      <c r="D16" s="4">
        <v>81</v>
      </c>
      <c r="E16" s="100">
        <f t="shared" ref="E16:E19" si="2">($C$15/360)*$D16*$E$7</f>
        <v>5308416</v>
      </c>
      <c r="F16" s="100"/>
      <c r="G16" s="100"/>
      <c r="H16" s="100"/>
    </row>
    <row r="17" spans="2:8" s="5" customFormat="1" ht="14.1" customHeight="1" x14ac:dyDescent="0.4">
      <c r="B17" s="102"/>
      <c r="C17" s="103"/>
      <c r="D17" s="4">
        <v>101</v>
      </c>
      <c r="E17" s="100">
        <f t="shared" si="2"/>
        <v>6619136</v>
      </c>
      <c r="F17" s="100"/>
      <c r="G17" s="100"/>
      <c r="H17" s="100"/>
    </row>
    <row r="18" spans="2:8" s="5" customFormat="1" ht="14.1" customHeight="1" x14ac:dyDescent="0.4">
      <c r="B18" s="102"/>
      <c r="C18" s="103"/>
      <c r="D18" s="4">
        <v>121</v>
      </c>
      <c r="E18" s="100">
        <f t="shared" si="2"/>
        <v>7929856</v>
      </c>
      <c r="F18" s="100"/>
      <c r="G18" s="100"/>
      <c r="H18" s="100"/>
    </row>
    <row r="19" spans="2:8" s="5" customFormat="1" ht="14.1" customHeight="1" x14ac:dyDescent="0.4">
      <c r="B19" s="102"/>
      <c r="C19" s="103"/>
      <c r="D19" s="4">
        <v>161</v>
      </c>
      <c r="E19" s="100">
        <f t="shared" si="2"/>
        <v>10551296</v>
      </c>
      <c r="F19" s="100"/>
      <c r="G19" s="100"/>
      <c r="H19" s="100"/>
    </row>
    <row r="20" spans="2:8" s="5" customFormat="1" ht="18.95" customHeight="1" x14ac:dyDescent="0.4">
      <c r="B20" s="101" t="s">
        <v>107</v>
      </c>
      <c r="C20" s="101"/>
      <c r="D20" s="101"/>
      <c r="E20" s="101"/>
      <c r="F20" s="101"/>
      <c r="G20" s="101"/>
      <c r="H20" s="101"/>
    </row>
    <row r="21" spans="2:8" s="5" customFormat="1" x14ac:dyDescent="0.4">
      <c r="B21" s="102" t="s">
        <v>101</v>
      </c>
      <c r="C21" s="17" t="s">
        <v>108</v>
      </c>
      <c r="D21" s="17" t="s">
        <v>102</v>
      </c>
      <c r="E21" s="17" t="s">
        <v>109</v>
      </c>
      <c r="F21" s="17" t="s">
        <v>110</v>
      </c>
      <c r="G21" s="17" t="s">
        <v>111</v>
      </c>
      <c r="H21" s="17" t="s">
        <v>112</v>
      </c>
    </row>
    <row r="22" spans="2:8" s="5" customFormat="1" ht="14.1" customHeight="1" x14ac:dyDescent="0.4">
      <c r="B22" s="102"/>
      <c r="C22" s="103">
        <v>2030</v>
      </c>
      <c r="D22" s="4">
        <v>51</v>
      </c>
      <c r="E22" s="105">
        <f>(1/6)*$C$22*360/100</f>
        <v>1218</v>
      </c>
      <c r="F22" s="20">
        <f>$E$22/$D22</f>
        <v>23.882352941176499</v>
      </c>
      <c r="G22" s="20">
        <f>$F22*360/60</f>
        <v>143.29411764705901</v>
      </c>
      <c r="H22" s="20">
        <f>$F22*2*3.14/60</f>
        <v>2.4996862745097999</v>
      </c>
    </row>
    <row r="23" spans="2:8" s="5" customFormat="1" x14ac:dyDescent="0.4">
      <c r="B23" s="102"/>
      <c r="C23" s="104"/>
      <c r="D23" s="4">
        <v>81</v>
      </c>
      <c r="E23" s="104"/>
      <c r="F23" s="20">
        <f t="shared" ref="F23:F26" si="3">$E$22/$D23</f>
        <v>15.037037037037001</v>
      </c>
      <c r="G23" s="20">
        <f t="shared" ref="G23:G26" si="4">$F23*360/60</f>
        <v>90.2222222222222</v>
      </c>
      <c r="H23" s="20">
        <f t="shared" ref="H23:H26" si="5">$F23*2*3.14/60</f>
        <v>1.57387654320988</v>
      </c>
    </row>
    <row r="24" spans="2:8" s="5" customFormat="1" x14ac:dyDescent="0.4">
      <c r="B24" s="102"/>
      <c r="C24" s="104"/>
      <c r="D24" s="4">
        <v>101</v>
      </c>
      <c r="E24" s="104"/>
      <c r="F24" s="20">
        <f t="shared" si="3"/>
        <v>12.0594059405941</v>
      </c>
      <c r="G24" s="20">
        <f t="shared" si="4"/>
        <v>72.356435643564396</v>
      </c>
      <c r="H24" s="20">
        <f t="shared" si="5"/>
        <v>1.26221782178218</v>
      </c>
    </row>
    <row r="25" spans="2:8" s="5" customFormat="1" x14ac:dyDescent="0.4">
      <c r="B25" s="102"/>
      <c r="C25" s="104"/>
      <c r="D25" s="4">
        <v>121</v>
      </c>
      <c r="E25" s="104"/>
      <c r="F25" s="20">
        <f t="shared" si="3"/>
        <v>10.0661157024793</v>
      </c>
      <c r="G25" s="20">
        <f t="shared" si="4"/>
        <v>60.396694214876</v>
      </c>
      <c r="H25" s="20">
        <f t="shared" si="5"/>
        <v>1.0535867768595</v>
      </c>
    </row>
    <row r="26" spans="2:8" s="5" customFormat="1" x14ac:dyDescent="0.4">
      <c r="B26" s="102"/>
      <c r="C26" s="104"/>
      <c r="D26" s="4">
        <v>161</v>
      </c>
      <c r="E26" s="104"/>
      <c r="F26" s="20">
        <f t="shared" si="3"/>
        <v>7.5652173913043503</v>
      </c>
      <c r="G26" s="20">
        <f t="shared" si="4"/>
        <v>45.3913043478261</v>
      </c>
      <c r="H26" s="20">
        <f t="shared" si="5"/>
        <v>0.79182608695652201</v>
      </c>
    </row>
    <row r="27" spans="2:8" s="5" customFormat="1" x14ac:dyDescent="0.4">
      <c r="B27" s="102" t="s">
        <v>101</v>
      </c>
      <c r="C27" s="17" t="s">
        <v>110</v>
      </c>
      <c r="D27" s="17" t="s">
        <v>102</v>
      </c>
      <c r="E27" s="17" t="s">
        <v>113</v>
      </c>
      <c r="F27" s="99"/>
      <c r="G27" s="99"/>
      <c r="H27" s="99"/>
    </row>
    <row r="28" spans="2:8" ht="14.1" customHeight="1" x14ac:dyDescent="0.4">
      <c r="B28" s="102"/>
      <c r="C28" s="103">
        <v>30</v>
      </c>
      <c r="D28" s="4">
        <v>51</v>
      </c>
      <c r="E28" s="19">
        <f>6*$C$28*$D28*100/360</f>
        <v>2550</v>
      </c>
      <c r="F28" s="99"/>
      <c r="G28" s="99"/>
      <c r="H28" s="99"/>
    </row>
    <row r="29" spans="2:8" ht="14.1" customHeight="1" x14ac:dyDescent="0.4">
      <c r="B29" s="102"/>
      <c r="C29" s="103"/>
      <c r="D29" s="4">
        <v>81</v>
      </c>
      <c r="E29" s="19">
        <f t="shared" ref="E29:E32" si="6">6*$C$28*$D29*100/360</f>
        <v>4050</v>
      </c>
      <c r="F29" s="99"/>
      <c r="G29" s="99"/>
      <c r="H29" s="99"/>
    </row>
    <row r="30" spans="2:8" x14ac:dyDescent="0.4">
      <c r="B30" s="102"/>
      <c r="C30" s="103"/>
      <c r="D30" s="4">
        <v>101</v>
      </c>
      <c r="E30" s="19">
        <f t="shared" si="6"/>
        <v>5050</v>
      </c>
      <c r="F30" s="99"/>
      <c r="G30" s="99"/>
      <c r="H30" s="99"/>
    </row>
    <row r="31" spans="2:8" ht="14.1" customHeight="1" x14ac:dyDescent="0.4">
      <c r="B31" s="102"/>
      <c r="C31" s="103"/>
      <c r="D31" s="4">
        <v>121</v>
      </c>
      <c r="E31" s="19">
        <f t="shared" si="6"/>
        <v>6050</v>
      </c>
      <c r="F31" s="99"/>
      <c r="G31" s="99"/>
      <c r="H31" s="99"/>
    </row>
    <row r="32" spans="2:8" x14ac:dyDescent="0.4">
      <c r="B32" s="102"/>
      <c r="C32" s="103"/>
      <c r="D32" s="4">
        <v>161</v>
      </c>
      <c r="E32" s="19">
        <f t="shared" si="6"/>
        <v>8050</v>
      </c>
      <c r="F32" s="99"/>
      <c r="G32" s="99"/>
      <c r="H32" s="99"/>
    </row>
    <row r="35" spans="3:9" x14ac:dyDescent="0.4">
      <c r="C35" s="5" t="s">
        <v>114</v>
      </c>
      <c r="D35" s="5" t="s">
        <v>102</v>
      </c>
      <c r="E35" s="5" t="s">
        <v>115</v>
      </c>
      <c r="F35" s="21"/>
      <c r="G35" s="5"/>
      <c r="I35" s="5"/>
    </row>
    <row r="36" spans="3:9" x14ac:dyDescent="0.4">
      <c r="C36" s="22">
        <v>0</v>
      </c>
      <c r="D36" s="5">
        <v>1</v>
      </c>
      <c r="E36" s="5">
        <v>262144</v>
      </c>
      <c r="F36" s="5" t="str">
        <f>IF(LEN(RIGHT(DEC2HEX((C36/360)*D36*E36),8))&lt;8,REPT(0,8-LEN(RIGHT(DEC2HEX((C36/360)*D36*E36),8)))&amp;RIGHT(DEC2HEX((C36/360)*D36*E36),8),RIGHT(DEC2HEX((C36/360)*D36*E36),8))</f>
        <v>00000000</v>
      </c>
      <c r="G36" s="5"/>
      <c r="I36" s="5"/>
    </row>
    <row r="37" spans="3:9" x14ac:dyDescent="0.4">
      <c r="C37" s="5"/>
      <c r="D37" s="5"/>
      <c r="E37" s="5"/>
      <c r="F37" s="5"/>
      <c r="G37" s="5"/>
      <c r="I37" s="5"/>
    </row>
    <row r="38" spans="3:9" x14ac:dyDescent="0.4">
      <c r="C38" s="22" t="s">
        <v>116</v>
      </c>
      <c r="D38" s="5"/>
      <c r="E38" s="5"/>
      <c r="F38" s="5"/>
      <c r="G38" s="5"/>
      <c r="I38" s="5"/>
    </row>
    <row r="39" spans="3:9" x14ac:dyDescent="0.4">
      <c r="C39" s="22" t="str">
        <f>RIGHT(F36,2)</f>
        <v>00</v>
      </c>
      <c r="D39" s="5"/>
      <c r="E39" s="5"/>
      <c r="F39" s="5"/>
      <c r="G39" s="5"/>
      <c r="I39" s="5"/>
    </row>
    <row r="40" spans="3:9" x14ac:dyDescent="0.4">
      <c r="C40" s="22" t="str">
        <f>MID(F36,5,2)</f>
        <v>00</v>
      </c>
      <c r="D40" s="5"/>
      <c r="E40" s="5"/>
      <c r="F40" s="5"/>
      <c r="G40" s="5"/>
      <c r="I40" s="5"/>
    </row>
    <row r="41" spans="3:9" x14ac:dyDescent="0.4">
      <c r="C41" s="22" t="str">
        <f>MID(F36,3,2)</f>
        <v>00</v>
      </c>
      <c r="D41" s="5"/>
      <c r="E41" s="5"/>
      <c r="F41" s="5"/>
      <c r="G41" s="5"/>
      <c r="I41" s="5"/>
    </row>
    <row r="42" spans="3:9" x14ac:dyDescent="0.4">
      <c r="C42" s="22" t="str">
        <f>LEFT(F36,2)</f>
        <v>00</v>
      </c>
      <c r="D42" s="5"/>
      <c r="E42" s="5"/>
      <c r="F42" s="5"/>
      <c r="G42" s="5"/>
      <c r="I42" s="5"/>
    </row>
    <row r="43" spans="3:9" x14ac:dyDescent="0.4">
      <c r="C43" s="5"/>
      <c r="D43" s="5"/>
      <c r="E43" s="5"/>
      <c r="F43" s="5"/>
      <c r="G43" s="5"/>
      <c r="I43" s="5"/>
    </row>
    <row r="44" spans="3:9" x14ac:dyDescent="0.4">
      <c r="C44" s="98" t="s">
        <v>117</v>
      </c>
      <c r="D44" s="98"/>
      <c r="E44" s="98"/>
      <c r="F44" s="98"/>
      <c r="G44" s="98"/>
      <c r="I44" s="98"/>
    </row>
    <row r="45" spans="3:9" x14ac:dyDescent="0.4">
      <c r="C45" s="98"/>
      <c r="D45" s="98"/>
      <c r="E45" s="98"/>
      <c r="F45" s="98"/>
      <c r="G45" s="98"/>
      <c r="I45" s="98"/>
    </row>
    <row r="47" spans="3:9" x14ac:dyDescent="0.4">
      <c r="D47" t="s">
        <v>118</v>
      </c>
    </row>
  </sheetData>
  <mergeCells count="28">
    <mergeCell ref="E19:F19"/>
    <mergeCell ref="E6:F6"/>
    <mergeCell ref="G6:H6"/>
    <mergeCell ref="E7:F7"/>
    <mergeCell ref="G7:H7"/>
    <mergeCell ref="E14:F14"/>
    <mergeCell ref="G14:H14"/>
    <mergeCell ref="H9:H13"/>
    <mergeCell ref="E15:F15"/>
    <mergeCell ref="E16:F16"/>
    <mergeCell ref="E17:F17"/>
    <mergeCell ref="E18:F18"/>
    <mergeCell ref="I44:I45"/>
    <mergeCell ref="F27:H32"/>
    <mergeCell ref="G15:H19"/>
    <mergeCell ref="C44:G45"/>
    <mergeCell ref="B6:D7"/>
    <mergeCell ref="B20:H20"/>
    <mergeCell ref="B8:B13"/>
    <mergeCell ref="B14:B19"/>
    <mergeCell ref="B21:B26"/>
    <mergeCell ref="B27:B32"/>
    <mergeCell ref="C9:C13"/>
    <mergeCell ref="C15:C19"/>
    <mergeCell ref="C22:C26"/>
    <mergeCell ref="C28:C32"/>
    <mergeCell ref="E22:E26"/>
    <mergeCell ref="G9:G13"/>
  </mergeCells>
  <phoneticPr fontId="2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
  <sheetViews>
    <sheetView workbookViewId="0">
      <selection activeCell="B2" sqref="B2"/>
    </sheetView>
  </sheetViews>
  <sheetFormatPr defaultColWidth="9" defaultRowHeight="13.9" x14ac:dyDescent="0.4"/>
  <cols>
    <col min="1" max="1" width="19.19921875" customWidth="1"/>
    <col min="2" max="2" width="127.46484375" customWidth="1"/>
  </cols>
  <sheetData>
    <row r="1" spans="1:2" ht="209.25" customHeight="1" x14ac:dyDescent="0.4">
      <c r="A1" s="12" t="s">
        <v>119</v>
      </c>
      <c r="B1" s="13" t="s">
        <v>120</v>
      </c>
    </row>
    <row r="2" spans="1:2" ht="228" customHeight="1" x14ac:dyDescent="0.4">
      <c r="A2" t="s">
        <v>121</v>
      </c>
      <c r="B2" s="14" t="s">
        <v>122</v>
      </c>
    </row>
    <row r="3" spans="1:2" ht="182.1" customHeight="1" x14ac:dyDescent="0.4">
      <c r="A3" t="s">
        <v>123</v>
      </c>
      <c r="B3" s="14" t="s">
        <v>124</v>
      </c>
    </row>
  </sheetData>
  <phoneticPr fontId="23"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F16"/>
  <sheetViews>
    <sheetView zoomScale="115" zoomScaleNormal="115" workbookViewId="0">
      <selection activeCell="D20" sqref="D20"/>
    </sheetView>
  </sheetViews>
  <sheetFormatPr defaultColWidth="9" defaultRowHeight="13.9" x14ac:dyDescent="0.4"/>
  <cols>
    <col min="1" max="1" width="8.9296875" bestFit="1" customWidth="1"/>
    <col min="2" max="2" width="7.33203125" style="7" customWidth="1"/>
    <col min="3" max="3" width="17.19921875" style="7" bestFit="1" customWidth="1"/>
    <col min="4" max="4" width="18.19921875" style="7" bestFit="1" customWidth="1"/>
    <col min="5" max="5" width="19.6640625" style="8" bestFit="1" customWidth="1"/>
    <col min="6" max="6" width="12.6640625" bestFit="1" customWidth="1"/>
  </cols>
  <sheetData>
    <row r="2" spans="1:6" x14ac:dyDescent="0.4">
      <c r="A2" t="s">
        <v>47</v>
      </c>
      <c r="B2" s="7" t="s">
        <v>125</v>
      </c>
      <c r="C2" s="9" t="s">
        <v>126</v>
      </c>
      <c r="D2" s="9" t="s">
        <v>127</v>
      </c>
      <c r="E2" s="10" t="s">
        <v>128</v>
      </c>
      <c r="F2">
        <v>0.8</v>
      </c>
    </row>
    <row r="3" spans="1:6" x14ac:dyDescent="0.4">
      <c r="A3" t="s">
        <v>129</v>
      </c>
      <c r="B3" s="7">
        <v>40</v>
      </c>
      <c r="C3" s="7">
        <v>5</v>
      </c>
      <c r="D3" s="7">
        <v>15000</v>
      </c>
      <c r="E3" s="10">
        <f t="shared" ref="E3:E16" si="0">D3/(19.859394*B3*C3/1000)</f>
        <v>3776.55028144363</v>
      </c>
      <c r="F3">
        <f>E3*F2</f>
        <v>3021.2402251549101</v>
      </c>
    </row>
    <row r="4" spans="1:6" x14ac:dyDescent="0.4">
      <c r="A4" t="s">
        <v>130</v>
      </c>
      <c r="B4" s="7">
        <v>10</v>
      </c>
      <c r="C4" s="7">
        <v>20</v>
      </c>
      <c r="D4" s="7">
        <v>19000</v>
      </c>
      <c r="E4" s="10">
        <f t="shared" si="0"/>
        <v>4783.6303564952696</v>
      </c>
      <c r="F4">
        <f>E4*F2</f>
        <v>3826.9042851962099</v>
      </c>
    </row>
    <row r="5" spans="1:6" x14ac:dyDescent="0.4">
      <c r="A5" t="s">
        <v>131</v>
      </c>
      <c r="B5" s="7">
        <v>10</v>
      </c>
      <c r="C5" s="7">
        <v>10</v>
      </c>
      <c r="D5" s="7">
        <v>19000</v>
      </c>
      <c r="E5" s="10">
        <f t="shared" si="0"/>
        <v>9567.2607129905391</v>
      </c>
      <c r="F5">
        <f>E5*F2</f>
        <v>7653.8085703924298</v>
      </c>
    </row>
    <row r="6" spans="1:6" x14ac:dyDescent="0.4">
      <c r="A6" t="s">
        <v>132</v>
      </c>
      <c r="B6" s="7">
        <v>10</v>
      </c>
      <c r="C6" s="7">
        <v>10</v>
      </c>
      <c r="D6" s="7">
        <v>21000</v>
      </c>
      <c r="E6" s="10">
        <f t="shared" si="0"/>
        <v>10574.3407880422</v>
      </c>
      <c r="F6">
        <f>E6*F2</f>
        <v>8459.4726304337401</v>
      </c>
    </row>
    <row r="7" spans="1:6" x14ac:dyDescent="0.4">
      <c r="A7" t="s">
        <v>133</v>
      </c>
      <c r="B7" s="7">
        <v>10</v>
      </c>
      <c r="C7" s="7">
        <v>5</v>
      </c>
      <c r="D7" s="7">
        <v>20000</v>
      </c>
      <c r="E7" s="10">
        <f t="shared" si="0"/>
        <v>20141.601501032699</v>
      </c>
      <c r="F7">
        <f>E7*F2</f>
        <v>16113.281200826201</v>
      </c>
    </row>
    <row r="8" spans="1:6" x14ac:dyDescent="0.4">
      <c r="A8" t="s">
        <v>134</v>
      </c>
      <c r="B8" s="7">
        <v>10</v>
      </c>
      <c r="C8" s="7">
        <v>7</v>
      </c>
      <c r="D8" s="7">
        <v>29000</v>
      </c>
      <c r="E8" s="10">
        <f t="shared" si="0"/>
        <v>20860.944411783901</v>
      </c>
      <c r="F8">
        <f>E8*F2</f>
        <v>16688.755529427101</v>
      </c>
    </row>
    <row r="9" spans="1:6" x14ac:dyDescent="0.4">
      <c r="A9" t="s">
        <v>135</v>
      </c>
      <c r="B9" s="7">
        <v>10</v>
      </c>
      <c r="C9" s="7">
        <v>7</v>
      </c>
      <c r="D9" s="7">
        <v>25000</v>
      </c>
      <c r="E9" s="10">
        <f t="shared" si="0"/>
        <v>17983.572768779199</v>
      </c>
      <c r="F9">
        <f>E9*F2</f>
        <v>14386.8582150234</v>
      </c>
    </row>
    <row r="10" spans="1:6" x14ac:dyDescent="0.4">
      <c r="A10" t="s">
        <v>136</v>
      </c>
      <c r="B10" s="7">
        <v>10</v>
      </c>
      <c r="C10" s="7">
        <v>7</v>
      </c>
      <c r="D10" s="7">
        <v>31000</v>
      </c>
      <c r="E10" s="10">
        <f t="shared" si="0"/>
        <v>22299.6302332862</v>
      </c>
      <c r="F10">
        <f>E10*F2</f>
        <v>17839.704186628998</v>
      </c>
    </row>
    <row r="11" spans="1:6" x14ac:dyDescent="0.4">
      <c r="A11" t="s">
        <v>137</v>
      </c>
      <c r="B11" s="7">
        <v>1</v>
      </c>
      <c r="C11" s="7">
        <v>1</v>
      </c>
      <c r="D11" s="7">
        <v>0</v>
      </c>
      <c r="E11" s="10">
        <f t="shared" si="0"/>
        <v>0</v>
      </c>
    </row>
    <row r="12" spans="1:6" x14ac:dyDescent="0.4">
      <c r="A12" s="11" t="s">
        <v>138</v>
      </c>
      <c r="B12" s="7">
        <v>10</v>
      </c>
      <c r="C12" s="7">
        <v>5</v>
      </c>
      <c r="D12" s="7">
        <v>32000</v>
      </c>
      <c r="E12" s="10">
        <f t="shared" si="0"/>
        <v>32226.5624016523</v>
      </c>
      <c r="F12">
        <f>E12*F2</f>
        <v>25781.249921321902</v>
      </c>
    </row>
    <row r="13" spans="1:6" x14ac:dyDescent="0.4">
      <c r="A13" t="s">
        <v>139</v>
      </c>
      <c r="B13" s="7">
        <v>1</v>
      </c>
      <c r="C13" s="7">
        <v>1</v>
      </c>
      <c r="D13" s="7">
        <v>0</v>
      </c>
      <c r="E13" s="10">
        <f t="shared" si="0"/>
        <v>0</v>
      </c>
    </row>
    <row r="14" spans="1:6" x14ac:dyDescent="0.4">
      <c r="A14" t="s">
        <v>140</v>
      </c>
      <c r="B14" s="7">
        <v>1</v>
      </c>
      <c r="C14" s="7">
        <v>1</v>
      </c>
      <c r="D14" s="7">
        <v>0</v>
      </c>
      <c r="E14" s="10">
        <f t="shared" si="0"/>
        <v>0</v>
      </c>
    </row>
    <row r="15" spans="1:6" x14ac:dyDescent="0.4">
      <c r="A15" s="11" t="s">
        <v>141</v>
      </c>
      <c r="B15" s="7">
        <v>20</v>
      </c>
      <c r="C15" s="7">
        <v>2</v>
      </c>
      <c r="D15" s="7">
        <v>30000</v>
      </c>
      <c r="E15" s="10">
        <f t="shared" si="0"/>
        <v>37765.502814436302</v>
      </c>
    </row>
    <row r="16" spans="1:6" x14ac:dyDescent="0.4">
      <c r="A16" s="11" t="s">
        <v>142</v>
      </c>
      <c r="B16" s="7">
        <v>1</v>
      </c>
      <c r="C16" s="7">
        <v>1</v>
      </c>
      <c r="D16" s="7">
        <v>0</v>
      </c>
      <c r="E16" s="10">
        <f t="shared" si="0"/>
        <v>0</v>
      </c>
    </row>
  </sheetData>
  <phoneticPr fontId="23"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3:H13"/>
  <sheetViews>
    <sheetView workbookViewId="0">
      <selection activeCell="D15" sqref="D15"/>
    </sheetView>
  </sheetViews>
  <sheetFormatPr defaultColWidth="9" defaultRowHeight="13.9" x14ac:dyDescent="0.4"/>
  <cols>
    <col min="1" max="1" width="20.46484375" style="5" customWidth="1"/>
    <col min="2" max="2" width="6.86328125" style="5" customWidth="1"/>
    <col min="3" max="3" width="16.46484375" style="5" customWidth="1"/>
    <col min="4" max="4" width="17.6640625" style="5" customWidth="1"/>
    <col min="5" max="5" width="13.1328125" style="5" customWidth="1"/>
    <col min="6" max="16384" width="9" style="5"/>
  </cols>
  <sheetData>
    <row r="3" spans="2:8" x14ac:dyDescent="0.4">
      <c r="C3" s="5" t="s">
        <v>143</v>
      </c>
      <c r="D3" s="5" t="s">
        <v>144</v>
      </c>
      <c r="E3" s="5" t="s">
        <v>145</v>
      </c>
    </row>
    <row r="4" spans="2:8" x14ac:dyDescent="0.4">
      <c r="B4" s="5" t="s">
        <v>101</v>
      </c>
      <c r="C4" s="5">
        <v>360</v>
      </c>
      <c r="D4" s="5">
        <f>C4*60</f>
        <v>21600</v>
      </c>
      <c r="E4" s="5">
        <f>60*D4</f>
        <v>1296000</v>
      </c>
    </row>
    <row r="5" spans="2:8" x14ac:dyDescent="0.4">
      <c r="C5" s="5" t="s">
        <v>145</v>
      </c>
      <c r="D5" s="5" t="s">
        <v>144</v>
      </c>
      <c r="E5" s="5" t="s">
        <v>143</v>
      </c>
    </row>
    <row r="6" spans="2:8" x14ac:dyDescent="0.4">
      <c r="B6" s="5" t="s">
        <v>101</v>
      </c>
      <c r="C6" s="5">
        <v>1296000</v>
      </c>
      <c r="D6" s="5">
        <f>C6/60</f>
        <v>21600</v>
      </c>
      <c r="E6" s="5">
        <f>D6/60</f>
        <v>360</v>
      </c>
    </row>
    <row r="8" spans="2:8" x14ac:dyDescent="0.4">
      <c r="C8" s="6" t="s">
        <v>146</v>
      </c>
      <c r="D8" s="6" t="s">
        <v>102</v>
      </c>
      <c r="E8" s="6" t="s">
        <v>147</v>
      </c>
      <c r="G8" s="108">
        <f>E9/E4</f>
        <v>5.1073580246913597</v>
      </c>
      <c r="H8" s="109" t="s">
        <v>148</v>
      </c>
    </row>
    <row r="9" spans="2:8" x14ac:dyDescent="0.4">
      <c r="C9" s="6">
        <v>65536</v>
      </c>
      <c r="D9" s="5">
        <v>101</v>
      </c>
      <c r="E9" s="5">
        <f>C9*D9</f>
        <v>6619136</v>
      </c>
      <c r="G9" s="108"/>
      <c r="H9" s="108"/>
    </row>
    <row r="11" spans="2:8" x14ac:dyDescent="0.4">
      <c r="C11" s="6" t="s">
        <v>149</v>
      </c>
      <c r="D11" s="6" t="s">
        <v>150</v>
      </c>
      <c r="E11" s="6" t="s">
        <v>151</v>
      </c>
    </row>
    <row r="12" spans="2:8" x14ac:dyDescent="0.4">
      <c r="C12" s="5">
        <v>12.7</v>
      </c>
      <c r="D12" s="5">
        <v>150</v>
      </c>
      <c r="E12" s="5">
        <f>C12*E4/D12/1000/2/3.1415926</f>
        <v>17.463753893486999</v>
      </c>
    </row>
    <row r="13" spans="2:8" x14ac:dyDescent="0.4">
      <c r="D13" s="6"/>
    </row>
  </sheetData>
  <mergeCells count="2">
    <mergeCell ref="G8:G9"/>
    <mergeCell ref="H8:H9"/>
  </mergeCells>
  <phoneticPr fontId="23"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6"/>
  <sheetViews>
    <sheetView workbookViewId="0">
      <selection activeCell="E18" sqref="E18"/>
    </sheetView>
  </sheetViews>
  <sheetFormatPr defaultColWidth="9" defaultRowHeight="13.9" x14ac:dyDescent="0.4"/>
  <cols>
    <col min="2" max="2" width="16.86328125" customWidth="1"/>
    <col min="3" max="3" width="12.796875" customWidth="1"/>
    <col min="7" max="7" width="19.1328125" customWidth="1"/>
  </cols>
  <sheetData>
    <row r="1" spans="1:9" x14ac:dyDescent="0.4">
      <c r="B1" s="1" t="s">
        <v>152</v>
      </c>
      <c r="C1" s="1">
        <v>112</v>
      </c>
    </row>
    <row r="2" spans="1:9" x14ac:dyDescent="0.4">
      <c r="A2" s="2"/>
      <c r="B2" s="3" t="s">
        <v>27</v>
      </c>
      <c r="C2" s="1">
        <v>16</v>
      </c>
    </row>
    <row r="3" spans="1:9" x14ac:dyDescent="0.4">
      <c r="B3" s="1" t="s">
        <v>153</v>
      </c>
      <c r="C3" s="1">
        <v>3</v>
      </c>
    </row>
    <row r="4" spans="1:9" x14ac:dyDescent="0.4">
      <c r="B4" s="1" t="s">
        <v>154</v>
      </c>
      <c r="C4" s="1">
        <v>8</v>
      </c>
    </row>
    <row r="5" spans="1:9" x14ac:dyDescent="0.4">
      <c r="B5" s="3" t="s">
        <v>155</v>
      </c>
      <c r="C5" s="1">
        <v>1</v>
      </c>
    </row>
    <row r="7" spans="1:9" x14ac:dyDescent="0.4">
      <c r="B7" s="4" t="s">
        <v>156</v>
      </c>
      <c r="C7" s="4">
        <v>3</v>
      </c>
      <c r="D7" s="5"/>
      <c r="E7" s="5"/>
      <c r="H7" s="5"/>
      <c r="I7" s="5"/>
    </row>
    <row r="8" spans="1:9" x14ac:dyDescent="0.4">
      <c r="B8" s="4" t="s">
        <v>157</v>
      </c>
      <c r="C8" s="4">
        <f>(C11*C11/C7)-C7</f>
        <v>1.831083</v>
      </c>
      <c r="D8" s="5"/>
      <c r="E8" s="5"/>
      <c r="F8" s="5"/>
      <c r="G8" s="5"/>
      <c r="H8" s="5"/>
      <c r="I8" s="5"/>
    </row>
    <row r="9" spans="1:9" x14ac:dyDescent="0.4">
      <c r="B9" s="4" t="s">
        <v>158</v>
      </c>
      <c r="C9" s="4">
        <f>C7</f>
        <v>3</v>
      </c>
      <c r="D9" s="5"/>
      <c r="E9" s="5"/>
      <c r="F9" s="5"/>
      <c r="G9" s="5"/>
      <c r="H9" s="5"/>
      <c r="I9" s="5"/>
    </row>
    <row r="10" spans="1:9" x14ac:dyDescent="0.4">
      <c r="B10" s="4" t="s">
        <v>159</v>
      </c>
      <c r="C10" s="4">
        <v>0</v>
      </c>
      <c r="D10" s="5"/>
      <c r="E10" s="5"/>
      <c r="F10" s="5"/>
      <c r="G10" s="5"/>
      <c r="H10" s="5"/>
      <c r="I10" s="5"/>
    </row>
    <row r="11" spans="1:9" x14ac:dyDescent="0.4">
      <c r="B11" s="4" t="s">
        <v>160</v>
      </c>
      <c r="C11" s="4">
        <v>3.8069999999999999</v>
      </c>
      <c r="D11" s="5"/>
      <c r="E11" s="5"/>
      <c r="F11" s="5"/>
      <c r="G11" s="5"/>
      <c r="H11" s="5"/>
      <c r="I11" s="5"/>
    </row>
    <row r="12" spans="1:9" x14ac:dyDescent="0.4">
      <c r="B12" s="4" t="s">
        <v>161</v>
      </c>
      <c r="C12" s="4">
        <v>0</v>
      </c>
      <c r="D12" s="5"/>
      <c r="E12" s="5"/>
      <c r="F12" s="5"/>
      <c r="G12" s="5"/>
      <c r="H12" s="5"/>
      <c r="I12" s="5"/>
    </row>
    <row r="13" spans="1:9" x14ac:dyDescent="0.4">
      <c r="B13" s="4" t="s">
        <v>162</v>
      </c>
      <c r="C13" s="4">
        <f>C11</f>
        <v>3.8069999999999999</v>
      </c>
      <c r="D13" s="5"/>
      <c r="E13" s="5"/>
      <c r="F13" s="5"/>
      <c r="G13" s="5"/>
      <c r="H13" s="5"/>
      <c r="I13" s="5"/>
    </row>
    <row r="14" spans="1:9" x14ac:dyDescent="0.4">
      <c r="B14" s="5"/>
      <c r="C14" s="5"/>
      <c r="D14" s="5"/>
      <c r="E14" s="5"/>
      <c r="F14" s="5"/>
      <c r="G14" s="5"/>
      <c r="H14" s="5"/>
      <c r="I14" s="5"/>
    </row>
    <row r="15" spans="1:9" x14ac:dyDescent="0.4">
      <c r="B15" s="5"/>
      <c r="C15" s="5"/>
      <c r="D15" s="5"/>
      <c r="E15" s="5"/>
      <c r="F15" s="5"/>
      <c r="G15" s="5"/>
      <c r="H15" s="5"/>
      <c r="I15" s="5"/>
    </row>
    <row r="16" spans="1:9" x14ac:dyDescent="0.4">
      <c r="B16" s="6" t="s">
        <v>163</v>
      </c>
      <c r="C16" s="5">
        <f>C17+C18</f>
        <v>111.92471687233299</v>
      </c>
      <c r="D16" s="5"/>
      <c r="E16" s="5"/>
      <c r="F16" s="5"/>
      <c r="G16" s="5"/>
      <c r="H16" s="5"/>
      <c r="I16" s="5"/>
    </row>
    <row r="17" spans="1:9" x14ac:dyDescent="0.4">
      <c r="B17" s="6" t="s">
        <v>164</v>
      </c>
      <c r="C17" s="5">
        <f>((2*C7+C8)*(C7+C8)*(C7*C5))/2</f>
        <v>56.748917929333501</v>
      </c>
      <c r="D17" s="5"/>
      <c r="E17" s="5"/>
      <c r="F17" s="5"/>
      <c r="G17" s="5"/>
      <c r="H17" s="5"/>
      <c r="I17" s="5"/>
    </row>
    <row r="18" spans="1:9" x14ac:dyDescent="0.4">
      <c r="B18" s="6" t="s">
        <v>165</v>
      </c>
      <c r="C18" s="5">
        <f>((2*C11+C12)*(C11+C12)*(C11*C5))/2</f>
        <v>55.175798942999997</v>
      </c>
      <c r="D18" s="5"/>
      <c r="E18" s="5"/>
      <c r="F18" s="5"/>
      <c r="G18" s="5"/>
      <c r="H18" s="5"/>
      <c r="I18" s="5"/>
    </row>
    <row r="19" spans="1:9" x14ac:dyDescent="0.4">
      <c r="B19" s="6" t="s">
        <v>166</v>
      </c>
      <c r="C19" s="5">
        <f>C5*C11*C11</f>
        <v>14.493249</v>
      </c>
      <c r="D19" s="5"/>
      <c r="E19" s="5"/>
      <c r="F19" s="5"/>
      <c r="G19" s="5"/>
      <c r="H19" s="5"/>
      <c r="I19" s="5"/>
    </row>
    <row r="20" spans="1:9" x14ac:dyDescent="0.4">
      <c r="B20" s="2" t="s">
        <v>167</v>
      </c>
      <c r="C20">
        <f>C3*(C7+C8)</f>
        <v>14.493249</v>
      </c>
      <c r="D20" s="5"/>
      <c r="E20" s="5"/>
      <c r="F20" s="5"/>
      <c r="G20" s="5"/>
      <c r="H20" s="5"/>
      <c r="I20" s="5"/>
    </row>
    <row r="21" spans="1:9" x14ac:dyDescent="0.4">
      <c r="B21" s="6"/>
      <c r="C21" s="5"/>
      <c r="D21" s="5"/>
      <c r="E21" s="5"/>
      <c r="F21" s="5"/>
      <c r="G21" s="5"/>
      <c r="H21" s="5"/>
      <c r="I21" s="5"/>
    </row>
    <row r="22" spans="1:9" x14ac:dyDescent="0.4">
      <c r="B22" s="6"/>
      <c r="C22" s="5"/>
      <c r="D22" s="5"/>
      <c r="E22" s="5"/>
      <c r="F22" s="5"/>
      <c r="G22" s="5"/>
      <c r="H22" s="5"/>
      <c r="I22" s="5"/>
    </row>
    <row r="23" spans="1:9" x14ac:dyDescent="0.4">
      <c r="B23" s="6" t="s">
        <v>168</v>
      </c>
      <c r="C23" s="5">
        <f>C11*C11*C11*C11*C5*C5/(2*C3)+C11*C11*C11*C5+C11*C11*C3/2</f>
        <v>111.92471687233299</v>
      </c>
      <c r="D23" s="5"/>
      <c r="E23" s="5"/>
      <c r="F23" s="5"/>
      <c r="G23" s="5"/>
      <c r="H23" s="5"/>
      <c r="I23" s="5"/>
    </row>
    <row r="24" spans="1:9" x14ac:dyDescent="0.4">
      <c r="A24" s="2"/>
      <c r="B24" s="6" t="s">
        <v>169</v>
      </c>
      <c r="C24" s="6">
        <f>C5*C11*C11*(C7+C5*C11*C11/C3)/2</f>
        <v>56.748917929333501</v>
      </c>
      <c r="D24" s="6"/>
      <c r="E24" s="6"/>
      <c r="F24" s="6"/>
      <c r="G24" s="5"/>
      <c r="H24" s="5"/>
      <c r="I24" s="5"/>
    </row>
    <row r="25" spans="1:9" x14ac:dyDescent="0.4">
      <c r="B25" s="5"/>
      <c r="C25" s="6"/>
      <c r="D25" s="5"/>
      <c r="E25" s="5"/>
      <c r="F25" s="5"/>
      <c r="G25" s="5"/>
      <c r="H25" s="5"/>
      <c r="I25" s="5"/>
    </row>
    <row r="26" spans="1:9" x14ac:dyDescent="0.4">
      <c r="D26" s="5"/>
      <c r="E26" s="5"/>
      <c r="F26" s="5"/>
      <c r="G26" s="5"/>
      <c r="H26" s="5"/>
      <c r="I26" s="5"/>
    </row>
  </sheetData>
  <phoneticPr fontId="2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canbus</vt:lpstr>
      <vt:lpstr>单位换算</vt:lpstr>
      <vt:lpstr>人型机器人</vt:lpstr>
      <vt:lpstr>电流计算</vt:lpstr>
      <vt:lpstr>角度换算</vt:lpstr>
      <vt:lpstr>S曲线计算器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kieron kung</dc:creator>
  <cp:lastModifiedBy>戎骏辰</cp:lastModifiedBy>
  <dcterms:created xsi:type="dcterms:W3CDTF">2015-06-05T18:19:00Z</dcterms:created>
  <dcterms:modified xsi:type="dcterms:W3CDTF">2026-08-18T04:56:11Z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2052-12.1.0.21541</vt:lpwstr>
  </property>
  <property fmtid="{D5CDD505-2E9C-101B-9397-08002B2CF9AE}" pid="3" name="ICV">
    <vt:lpwstr>02A71D7D10E44FD7A90E3ECBA71921DC_12</vt:lpwstr>
  </property>
</Properties>
</file>